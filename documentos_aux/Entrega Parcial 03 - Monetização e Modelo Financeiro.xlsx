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urilo\Desktop\trab_fiap\"/>
    </mc:Choice>
  </mc:AlternateContent>
  <xr:revisionPtr revIDLastSave="0" documentId="13_ncr:1_{A04E94FC-6EC8-4AB7-B8C5-65753F4B46FA}" xr6:coauthVersionLast="47" xr6:coauthVersionMax="47" xr10:uidLastSave="{00000000-0000-0000-0000-000000000000}"/>
  <bookViews>
    <workbookView xWindow="-120" yWindow="-120" windowWidth="29040" windowHeight="16440" tabRatio="877" xr2:uid="{00000000-000D-0000-FFFF-FFFF00000000}"/>
  </bookViews>
  <sheets>
    <sheet name="Instruçoes" sheetId="1" r:id="rId1"/>
    <sheet name="1.Premissas Receitas" sheetId="2" r:id="rId2"/>
    <sheet name="2.Folha de Pagamentos" sheetId="3" r:id="rId3"/>
    <sheet name="3.Premissas de Despesas" sheetId="4" r:id="rId4"/>
    <sheet name="4.Premissas de Investimento" sheetId="5" r:id="rId5"/>
    <sheet name="5.Projeção Financeira" sheetId="6" r:id="rId6"/>
    <sheet name="Resumo" sheetId="7" r:id="rId7"/>
    <sheet name="6.Unit Economics" sheetId="8" r:id="rId8"/>
    <sheet name="7.Break-Even e Runway" sheetId="9" r:id="rId9"/>
    <sheet name="8.Cenarios" sheetId="10" r:id="rId10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" i="8" l="1"/>
  <c r="D19" i="10"/>
  <c r="C19" i="10"/>
  <c r="B19" i="10"/>
  <c r="F28" i="8"/>
  <c r="E28" i="8"/>
  <c r="D28" i="8"/>
  <c r="C28" i="8"/>
  <c r="B28" i="8"/>
  <c r="F124" i="6"/>
  <c r="I124" i="6" s="1"/>
  <c r="F123" i="6"/>
  <c r="J123" i="6" s="1"/>
  <c r="F122" i="6"/>
  <c r="S122" i="6" s="1"/>
  <c r="AD122" i="6" s="1"/>
  <c r="F118" i="6"/>
  <c r="Q118" i="6" s="1"/>
  <c r="F117" i="6"/>
  <c r="R117" i="6" s="1"/>
  <c r="F116" i="6"/>
  <c r="O116" i="6" s="1"/>
  <c r="F115" i="6"/>
  <c r="L115" i="6" s="1"/>
  <c r="BP114" i="6"/>
  <c r="AE114" i="6"/>
  <c r="AP114" i="6" s="1"/>
  <c r="BC114" i="6" s="1"/>
  <c r="S114" i="6"/>
  <c r="BP113" i="6"/>
  <c r="AE113" i="6"/>
  <c r="AN113" i="6" s="1"/>
  <c r="S113" i="6"/>
  <c r="AD113" i="6" s="1"/>
  <c r="AQ113" i="6" s="1"/>
  <c r="AR113" i="6" s="1"/>
  <c r="F112" i="6"/>
  <c r="O112" i="6" s="1"/>
  <c r="F111" i="6"/>
  <c r="S111" i="6" s="1"/>
  <c r="AB111" i="6" s="1"/>
  <c r="BP110" i="6"/>
  <c r="AE110" i="6"/>
  <c r="AG110" i="6" s="1"/>
  <c r="S110" i="6"/>
  <c r="T110" i="6" s="1"/>
  <c r="BP109" i="6"/>
  <c r="AE109" i="6"/>
  <c r="AO109" i="6" s="1"/>
  <c r="S109" i="6"/>
  <c r="AA109" i="6" s="1"/>
  <c r="F108" i="6"/>
  <c r="F107" i="6"/>
  <c r="M107" i="6" s="1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BP81" i="6"/>
  <c r="G81" i="6"/>
  <c r="F70" i="6"/>
  <c r="G70" i="6" s="1"/>
  <c r="F69" i="6"/>
  <c r="F68" i="6"/>
  <c r="G68" i="6" s="1"/>
  <c r="F67" i="6"/>
  <c r="BN67" i="6" s="1"/>
  <c r="F66" i="6"/>
  <c r="G66" i="6" s="1"/>
  <c r="F65" i="6"/>
  <c r="G65" i="6" s="1"/>
  <c r="F60" i="6"/>
  <c r="F59" i="6"/>
  <c r="F58" i="6"/>
  <c r="F57" i="6"/>
  <c r="F56" i="6"/>
  <c r="F55" i="6"/>
  <c r="F54" i="6"/>
  <c r="F53" i="6"/>
  <c r="F52" i="6"/>
  <c r="C52" i="6"/>
  <c r="C91" i="6" s="1"/>
  <c r="F51" i="6"/>
  <c r="F50" i="6"/>
  <c r="F49" i="6"/>
  <c r="F48" i="6"/>
  <c r="F47" i="6"/>
  <c r="F46" i="6"/>
  <c r="F45" i="6"/>
  <c r="F44" i="6"/>
  <c r="F43" i="6"/>
  <c r="BP42" i="6"/>
  <c r="G42" i="6"/>
  <c r="BN36" i="6"/>
  <c r="BN64" i="6" s="1"/>
  <c r="G36" i="6"/>
  <c r="G64" i="6" s="1"/>
  <c r="C26" i="6"/>
  <c r="C25" i="6"/>
  <c r="C24" i="6"/>
  <c r="C33" i="6" s="1"/>
  <c r="C68" i="6" s="1"/>
  <c r="C23" i="6"/>
  <c r="C57" i="6" s="1"/>
  <c r="C96" i="6" s="1"/>
  <c r="C22" i="6"/>
  <c r="C56" i="6" s="1"/>
  <c r="C95" i="6" s="1"/>
  <c r="C21" i="6"/>
  <c r="C55" i="6" s="1"/>
  <c r="C94" i="6" s="1"/>
  <c r="C20" i="6"/>
  <c r="C54" i="6" s="1"/>
  <c r="C93" i="6" s="1"/>
  <c r="C19" i="6"/>
  <c r="C53" i="6" s="1"/>
  <c r="C92" i="6" s="1"/>
  <c r="C18" i="6"/>
  <c r="C17" i="6"/>
  <c r="C51" i="6" s="1"/>
  <c r="C90" i="6" s="1"/>
  <c r="C16" i="6"/>
  <c r="C50" i="6" s="1"/>
  <c r="C89" i="6" s="1"/>
  <c r="C15" i="6"/>
  <c r="C49" i="6" s="1"/>
  <c r="C88" i="6" s="1"/>
  <c r="C14" i="6"/>
  <c r="C48" i="6" s="1"/>
  <c r="C87" i="6" s="1"/>
  <c r="C13" i="6"/>
  <c r="C47" i="6" s="1"/>
  <c r="C86" i="6" s="1"/>
  <c r="C12" i="6"/>
  <c r="C46" i="6" s="1"/>
  <c r="C85" i="6" s="1"/>
  <c r="C11" i="6"/>
  <c r="C32" i="6" s="1"/>
  <c r="C67" i="6" s="1"/>
  <c r="C10" i="6"/>
  <c r="C44" i="6" s="1"/>
  <c r="C83" i="6" s="1"/>
  <c r="C9" i="6"/>
  <c r="G3" i="6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AF3" i="6" s="1"/>
  <c r="AG3" i="6" s="1"/>
  <c r="AH3" i="6" s="1"/>
  <c r="AI3" i="6" s="1"/>
  <c r="AJ3" i="6" s="1"/>
  <c r="AK3" i="6" s="1"/>
  <c r="AL3" i="6" s="1"/>
  <c r="AM3" i="6" s="1"/>
  <c r="AN3" i="6" s="1"/>
  <c r="AO3" i="6" s="1"/>
  <c r="AP3" i="6" s="1"/>
  <c r="AQ3" i="6" s="1"/>
  <c r="AR3" i="6" s="1"/>
  <c r="AS3" i="6" s="1"/>
  <c r="AT3" i="6" s="1"/>
  <c r="AU3" i="6" s="1"/>
  <c r="AV3" i="6" s="1"/>
  <c r="AW3" i="6" s="1"/>
  <c r="AX3" i="6" s="1"/>
  <c r="AY3" i="6" s="1"/>
  <c r="AZ3" i="6" s="1"/>
  <c r="BA3" i="6" s="1"/>
  <c r="BB3" i="6" s="1"/>
  <c r="BC3" i="6" s="1"/>
  <c r="BD3" i="6" s="1"/>
  <c r="BE3" i="6" s="1"/>
  <c r="BF3" i="6" s="1"/>
  <c r="BG3" i="6" s="1"/>
  <c r="BH3" i="6" s="1"/>
  <c r="BI3" i="6" s="1"/>
  <c r="BJ3" i="6" s="1"/>
  <c r="BK3" i="6" s="1"/>
  <c r="BL3" i="6" s="1"/>
  <c r="BM3" i="6" s="1"/>
  <c r="BN3" i="6" s="1"/>
  <c r="B13" i="5"/>
  <c r="B7" i="5"/>
  <c r="B3" i="5"/>
  <c r="C20" i="4"/>
  <c r="C19" i="4"/>
  <c r="C18" i="4"/>
  <c r="C15" i="4"/>
  <c r="C14" i="4"/>
  <c r="C13" i="4"/>
  <c r="C12" i="4"/>
  <c r="C9" i="4"/>
  <c r="C8" i="4"/>
  <c r="C5" i="4"/>
  <c r="C4" i="4"/>
  <c r="A7" i="3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E65" i="2"/>
  <c r="E64" i="2"/>
  <c r="E63" i="2"/>
  <c r="E58" i="2"/>
  <c r="E57" i="2"/>
  <c r="E56" i="2"/>
  <c r="E50" i="2"/>
  <c r="E49" i="2"/>
  <c r="E48" i="2"/>
  <c r="E42" i="2"/>
  <c r="E41" i="2"/>
  <c r="E40" i="2"/>
  <c r="E35" i="2"/>
  <c r="E34" i="2"/>
  <c r="E33" i="2"/>
  <c r="E27" i="2"/>
  <c r="E26" i="2"/>
  <c r="E25" i="2"/>
  <c r="B16" i="2"/>
  <c r="C16" i="2" s="1"/>
  <c r="C17" i="2" s="1"/>
  <c r="C18" i="2" s="1"/>
  <c r="B29" i="2" s="1"/>
  <c r="G27" i="2" s="1"/>
  <c r="G11" i="6" s="1"/>
  <c r="AO113" i="6" l="1"/>
  <c r="AP113" i="6"/>
  <c r="BC113" i="6" s="1"/>
  <c r="K117" i="6"/>
  <c r="P117" i="6"/>
  <c r="O117" i="6"/>
  <c r="Q117" i="6"/>
  <c r="O122" i="6"/>
  <c r="AH113" i="6"/>
  <c r="P122" i="6"/>
  <c r="AL113" i="6"/>
  <c r="AK113" i="6"/>
  <c r="AM113" i="6"/>
  <c r="J111" i="6"/>
  <c r="K111" i="6"/>
  <c r="P111" i="6"/>
  <c r="Q111" i="6"/>
  <c r="R111" i="6"/>
  <c r="AE111" i="6" s="1"/>
  <c r="N107" i="6"/>
  <c r="I122" i="6"/>
  <c r="O107" i="6"/>
  <c r="Q112" i="6"/>
  <c r="J122" i="6"/>
  <c r="P107" i="6"/>
  <c r="R112" i="6"/>
  <c r="AE112" i="6" s="1"/>
  <c r="K122" i="6"/>
  <c r="Q107" i="6"/>
  <c r="L122" i="6"/>
  <c r="R107" i="6"/>
  <c r="AE107" i="6" s="1"/>
  <c r="M122" i="6"/>
  <c r="B1" i="5"/>
  <c r="B28" i="10" s="1"/>
  <c r="C45" i="6"/>
  <c r="C84" i="6" s="1"/>
  <c r="BN70" i="6"/>
  <c r="S107" i="6"/>
  <c r="W107" i="6" s="1"/>
  <c r="AG113" i="6"/>
  <c r="N122" i="6"/>
  <c r="Z109" i="6"/>
  <c r="Q122" i="6"/>
  <c r="AB109" i="6"/>
  <c r="R122" i="6"/>
  <c r="AE122" i="6" s="1"/>
  <c r="AJ122" i="6" s="1"/>
  <c r="AH110" i="6"/>
  <c r="AO110" i="6"/>
  <c r="AP110" i="6"/>
  <c r="BC110" i="6" s="1"/>
  <c r="BF110" i="6" s="1"/>
  <c r="AL110" i="6"/>
  <c r="AM110" i="6"/>
  <c r="AN110" i="6"/>
  <c r="AG109" i="6"/>
  <c r="BN66" i="6"/>
  <c r="V111" i="6"/>
  <c r="AP109" i="6"/>
  <c r="BC109" i="6" s="1"/>
  <c r="BI109" i="6" s="1"/>
  <c r="G67" i="6"/>
  <c r="J118" i="6"/>
  <c r="Y111" i="6"/>
  <c r="Z111" i="6"/>
  <c r="L118" i="6"/>
  <c r="AA111" i="6"/>
  <c r="BN68" i="6"/>
  <c r="N118" i="6"/>
  <c r="L107" i="6"/>
  <c r="AH114" i="6"/>
  <c r="O118" i="6"/>
  <c r="AJ109" i="6"/>
  <c r="H118" i="6"/>
  <c r="W111" i="6"/>
  <c r="I118" i="6"/>
  <c r="X111" i="6"/>
  <c r="K118" i="6"/>
  <c r="M118" i="6"/>
  <c r="P118" i="6"/>
  <c r="BN65" i="6"/>
  <c r="R118" i="6"/>
  <c r="AE118" i="6" s="1"/>
  <c r="AM118" i="6" s="1"/>
  <c r="S118" i="6"/>
  <c r="AB118" i="6" s="1"/>
  <c r="G115" i="6"/>
  <c r="K123" i="6"/>
  <c r="V113" i="6"/>
  <c r="H115" i="6"/>
  <c r="M123" i="6"/>
  <c r="Y113" i="6"/>
  <c r="G116" i="6"/>
  <c r="Z113" i="6"/>
  <c r="H116" i="6"/>
  <c r="AA113" i="6"/>
  <c r="I116" i="6"/>
  <c r="W109" i="6"/>
  <c r="AB113" i="6"/>
  <c r="J116" i="6"/>
  <c r="C31" i="6"/>
  <c r="C66" i="6" s="1"/>
  <c r="X109" i="6"/>
  <c r="AC113" i="6"/>
  <c r="C58" i="6"/>
  <c r="C97" i="6" s="1"/>
  <c r="Y109" i="6"/>
  <c r="U113" i="6"/>
  <c r="W113" i="6"/>
  <c r="X113" i="6"/>
  <c r="B60" i="2"/>
  <c r="B44" i="2"/>
  <c r="B52" i="2"/>
  <c r="B37" i="2"/>
  <c r="B67" i="2"/>
  <c r="G25" i="2"/>
  <c r="G9" i="6" s="1"/>
  <c r="G43" i="6" s="1"/>
  <c r="G26" i="2"/>
  <c r="G10" i="6" s="1"/>
  <c r="G83" i="6" s="1"/>
  <c r="H32" i="6"/>
  <c r="H11" i="6"/>
  <c r="G84" i="6"/>
  <c r="C34" i="6"/>
  <c r="C69" i="6" s="1"/>
  <c r="C59" i="6"/>
  <c r="C98" i="6" s="1"/>
  <c r="C43" i="6"/>
  <c r="C82" i="6" s="1"/>
  <c r="C30" i="6"/>
  <c r="C65" i="6" s="1"/>
  <c r="B29" i="7"/>
  <c r="B14" i="9"/>
  <c r="B24" i="9"/>
  <c r="D28" i="10"/>
  <c r="C28" i="10"/>
  <c r="C35" i="6"/>
  <c r="C70" i="6" s="1"/>
  <c r="C60" i="6"/>
  <c r="C99" i="6" s="1"/>
  <c r="L112" i="6"/>
  <c r="K112" i="6"/>
  <c r="J112" i="6"/>
  <c r="I112" i="6"/>
  <c r="S112" i="6"/>
  <c r="P112" i="6"/>
  <c r="H112" i="6"/>
  <c r="G112" i="6"/>
  <c r="M112" i="6"/>
  <c r="AW113" i="6"/>
  <c r="AV113" i="6"/>
  <c r="AU113" i="6"/>
  <c r="BA113" i="6"/>
  <c r="AZ113" i="6"/>
  <c r="BB113" i="6"/>
  <c r="AY113" i="6"/>
  <c r="AX113" i="6"/>
  <c r="AT113" i="6"/>
  <c r="AS113" i="6"/>
  <c r="N112" i="6"/>
  <c r="AC114" i="6"/>
  <c r="AB114" i="6"/>
  <c r="AA114" i="6"/>
  <c r="X114" i="6"/>
  <c r="W114" i="6"/>
  <c r="V114" i="6"/>
  <c r="U114" i="6"/>
  <c r="AD114" i="6"/>
  <c r="AQ114" i="6" s="1"/>
  <c r="Y114" i="6"/>
  <c r="Z114" i="6"/>
  <c r="T114" i="6"/>
  <c r="Z107" i="6"/>
  <c r="AQ122" i="6"/>
  <c r="BN114" i="6"/>
  <c r="BJ114" i="6"/>
  <c r="BI114" i="6"/>
  <c r="BH114" i="6"/>
  <c r="BM114" i="6"/>
  <c r="BL114" i="6"/>
  <c r="BK114" i="6"/>
  <c r="BG114" i="6"/>
  <c r="BF114" i="6"/>
  <c r="BD114" i="6"/>
  <c r="BE114" i="6"/>
  <c r="BT114" i="6" s="1"/>
  <c r="G45" i="6"/>
  <c r="Y110" i="6"/>
  <c r="X110" i="6"/>
  <c r="Z110" i="6"/>
  <c r="W110" i="6"/>
  <c r="V110" i="6"/>
  <c r="U110" i="6"/>
  <c r="AD110" i="6"/>
  <c r="AQ110" i="6" s="1"/>
  <c r="AC110" i="6"/>
  <c r="AB110" i="6"/>
  <c r="AA110" i="6"/>
  <c r="J115" i="6"/>
  <c r="I115" i="6"/>
  <c r="R115" i="6"/>
  <c r="AE115" i="6" s="1"/>
  <c r="Q115" i="6"/>
  <c r="S115" i="6"/>
  <c r="P115" i="6"/>
  <c r="O115" i="6"/>
  <c r="N115" i="6"/>
  <c r="K115" i="6"/>
  <c r="M115" i="6"/>
  <c r="P124" i="6"/>
  <c r="O124" i="6"/>
  <c r="N124" i="6"/>
  <c r="S124" i="6"/>
  <c r="R124" i="6"/>
  <c r="AE124" i="6" s="1"/>
  <c r="Q124" i="6"/>
  <c r="L124" i="6"/>
  <c r="K124" i="6"/>
  <c r="J124" i="6"/>
  <c r="H124" i="6"/>
  <c r="G124" i="6"/>
  <c r="M124" i="6"/>
  <c r="I123" i="6"/>
  <c r="R123" i="6"/>
  <c r="AE123" i="6" s="1"/>
  <c r="Q123" i="6"/>
  <c r="P123" i="6"/>
  <c r="N123" i="6"/>
  <c r="S123" i="6"/>
  <c r="O123" i="6"/>
  <c r="L123" i="6"/>
  <c r="G123" i="6"/>
  <c r="BN69" i="6"/>
  <c r="G69" i="6"/>
  <c r="I117" i="6"/>
  <c r="H117" i="6"/>
  <c r="G117" i="6"/>
  <c r="AE117" i="6"/>
  <c r="N117" i="6"/>
  <c r="M117" i="6"/>
  <c r="S117" i="6"/>
  <c r="L117" i="6"/>
  <c r="J117" i="6"/>
  <c r="H123" i="6"/>
  <c r="S108" i="6"/>
  <c r="R108" i="6"/>
  <c r="AE108" i="6" s="1"/>
  <c r="I108" i="6"/>
  <c r="H108" i="6"/>
  <c r="G108" i="6"/>
  <c r="O108" i="6"/>
  <c r="N108" i="6"/>
  <c r="P108" i="6"/>
  <c r="M108" i="6"/>
  <c r="L108" i="6"/>
  <c r="K108" i="6"/>
  <c r="J108" i="6"/>
  <c r="BL113" i="6"/>
  <c r="BK113" i="6"/>
  <c r="BJ113" i="6"/>
  <c r="BI113" i="6"/>
  <c r="BH113" i="6"/>
  <c r="BE113" i="6"/>
  <c r="BD113" i="6"/>
  <c r="BM113" i="6"/>
  <c r="BG113" i="6"/>
  <c r="BF113" i="6"/>
  <c r="K107" i="6"/>
  <c r="J107" i="6"/>
  <c r="I107" i="6"/>
  <c r="H107" i="6"/>
  <c r="G107" i="6"/>
  <c r="Q108" i="6"/>
  <c r="BN113" i="6"/>
  <c r="AD111" i="6"/>
  <c r="AQ111" i="6" s="1"/>
  <c r="AC111" i="6"/>
  <c r="U111" i="6"/>
  <c r="T111" i="6"/>
  <c r="T122" i="6"/>
  <c r="Z122" i="6"/>
  <c r="Y122" i="6"/>
  <c r="V122" i="6"/>
  <c r="U122" i="6"/>
  <c r="AC122" i="6"/>
  <c r="AA122" i="6"/>
  <c r="W122" i="6"/>
  <c r="X122" i="6"/>
  <c r="AB122" i="6"/>
  <c r="O111" i="6"/>
  <c r="N111" i="6"/>
  <c r="M111" i="6"/>
  <c r="L111" i="6"/>
  <c r="G111" i="6"/>
  <c r="AM114" i="6"/>
  <c r="AL114" i="6"/>
  <c r="AO114" i="6"/>
  <c r="AN114" i="6"/>
  <c r="AK114" i="6"/>
  <c r="AJ114" i="6"/>
  <c r="AI114" i="6"/>
  <c r="V118" i="6"/>
  <c r="U118" i="6"/>
  <c r="AC118" i="6"/>
  <c r="AI109" i="6"/>
  <c r="AH109" i="6"/>
  <c r="AN109" i="6"/>
  <c r="AM109" i="6"/>
  <c r="AL109" i="6"/>
  <c r="AK109" i="6"/>
  <c r="H111" i="6"/>
  <c r="AF114" i="6"/>
  <c r="AF109" i="6"/>
  <c r="I111" i="6"/>
  <c r="AG114" i="6"/>
  <c r="S116" i="6"/>
  <c r="R116" i="6"/>
  <c r="AE116" i="6" s="1"/>
  <c r="Q116" i="6"/>
  <c r="P116" i="6"/>
  <c r="N116" i="6"/>
  <c r="M116" i="6"/>
  <c r="L116" i="6"/>
  <c r="K116" i="6"/>
  <c r="T113" i="6"/>
  <c r="AK110" i="6"/>
  <c r="AJ110" i="6"/>
  <c r="AI110" i="6"/>
  <c r="V109" i="6"/>
  <c r="U109" i="6"/>
  <c r="AD109" i="6"/>
  <c r="AQ109" i="6" s="1"/>
  <c r="AC109" i="6"/>
  <c r="AF110" i="6"/>
  <c r="G118" i="6"/>
  <c r="T109" i="6"/>
  <c r="AJ113" i="6"/>
  <c r="AI113" i="6"/>
  <c r="AF113" i="6"/>
  <c r="G122" i="6"/>
  <c r="H122" i="6"/>
  <c r="BD110" i="6" l="1"/>
  <c r="BL110" i="6"/>
  <c r="BM109" i="6"/>
  <c r="BH110" i="6"/>
  <c r="W118" i="6"/>
  <c r="BJ110" i="6"/>
  <c r="BG110" i="6"/>
  <c r="BI110" i="6"/>
  <c r="M125" i="6"/>
  <c r="BF109" i="6"/>
  <c r="BE110" i="6"/>
  <c r="BM110" i="6"/>
  <c r="BG109" i="6"/>
  <c r="BK110" i="6"/>
  <c r="BN110" i="6"/>
  <c r="BH109" i="6"/>
  <c r="BE109" i="6"/>
  <c r="G71" i="6"/>
  <c r="T118" i="6"/>
  <c r="BN109" i="6"/>
  <c r="BL109" i="6"/>
  <c r="Z118" i="6"/>
  <c r="Y118" i="6"/>
  <c r="Q125" i="6"/>
  <c r="BP115" i="6"/>
  <c r="S125" i="6"/>
  <c r="V107" i="6"/>
  <c r="X107" i="6"/>
  <c r="Y107" i="6"/>
  <c r="AG122" i="6"/>
  <c r="BR122" i="6"/>
  <c r="I125" i="6"/>
  <c r="AD107" i="6"/>
  <c r="AQ107" i="6" s="1"/>
  <c r="AF122" i="6"/>
  <c r="T107" i="6"/>
  <c r="AK122" i="6"/>
  <c r="U107" i="6"/>
  <c r="AL122" i="6"/>
  <c r="BN71" i="6"/>
  <c r="R125" i="6"/>
  <c r="AN122" i="6"/>
  <c r="AB107" i="6"/>
  <c r="AC107" i="6"/>
  <c r="AP122" i="6"/>
  <c r="AO122" i="6"/>
  <c r="AM122" i="6"/>
  <c r="AH122" i="6"/>
  <c r="AE125" i="6"/>
  <c r="AI122" i="6"/>
  <c r="AA107" i="6"/>
  <c r="BR114" i="6"/>
  <c r="O125" i="6"/>
  <c r="O119" i="6"/>
  <c r="P125" i="6"/>
  <c r="BS113" i="6"/>
  <c r="BP118" i="6"/>
  <c r="P119" i="6"/>
  <c r="BK109" i="6"/>
  <c r="BJ109" i="6"/>
  <c r="BD109" i="6"/>
  <c r="BR110" i="6"/>
  <c r="AD118" i="6"/>
  <c r="AQ118" i="6" s="1"/>
  <c r="AV118" i="6" s="1"/>
  <c r="Q119" i="6"/>
  <c r="AL118" i="6"/>
  <c r="AK118" i="6"/>
  <c r="AJ118" i="6"/>
  <c r="AI118" i="6"/>
  <c r="AH118" i="6"/>
  <c r="AG118" i="6"/>
  <c r="AF118" i="6"/>
  <c r="AN118" i="6"/>
  <c r="AO118" i="6"/>
  <c r="BQ113" i="6"/>
  <c r="AP118" i="6"/>
  <c r="BC118" i="6" s="1"/>
  <c r="BE118" i="6" s="1"/>
  <c r="N119" i="6"/>
  <c r="X118" i="6"/>
  <c r="AA118" i="6"/>
  <c r="W108" i="6"/>
  <c r="V108" i="6"/>
  <c r="Y108" i="6"/>
  <c r="AD108" i="6"/>
  <c r="AQ108" i="6" s="1"/>
  <c r="AB108" i="6"/>
  <c r="AA108" i="6"/>
  <c r="Z108" i="6"/>
  <c r="X108" i="6"/>
  <c r="U108" i="6"/>
  <c r="T108" i="6"/>
  <c r="AC108" i="6"/>
  <c r="S119" i="6"/>
  <c r="BR109" i="6"/>
  <c r="H119" i="6"/>
  <c r="BP112" i="6"/>
  <c r="BQ110" i="6"/>
  <c r="AP111" i="6"/>
  <c r="BC111" i="6" s="1"/>
  <c r="AI111" i="6"/>
  <c r="AH111" i="6"/>
  <c r="AG111" i="6"/>
  <c r="AL111" i="6"/>
  <c r="AK111" i="6"/>
  <c r="AJ111" i="6"/>
  <c r="AF111" i="6"/>
  <c r="AM111" i="6"/>
  <c r="AO111" i="6"/>
  <c r="AN111" i="6"/>
  <c r="BA111" i="6"/>
  <c r="AZ111" i="6"/>
  <c r="BB111" i="6"/>
  <c r="AW111" i="6"/>
  <c r="AU111" i="6"/>
  <c r="AT111" i="6"/>
  <c r="AS111" i="6"/>
  <c r="AV111" i="6"/>
  <c r="AR111" i="6"/>
  <c r="AX111" i="6"/>
  <c r="AY111" i="6"/>
  <c r="I119" i="6"/>
  <c r="AG112" i="6"/>
  <c r="AF112" i="6"/>
  <c r="AK112" i="6"/>
  <c r="AJ112" i="6"/>
  <c r="AI112" i="6"/>
  <c r="AP112" i="6"/>
  <c r="BC112" i="6" s="1"/>
  <c r="AO112" i="6"/>
  <c r="AN112" i="6"/>
  <c r="AH112" i="6"/>
  <c r="AM112" i="6"/>
  <c r="AL112" i="6"/>
  <c r="R119" i="6"/>
  <c r="Y112" i="6"/>
  <c r="X112" i="6"/>
  <c r="W112" i="6"/>
  <c r="AD112" i="6"/>
  <c r="AQ112" i="6" s="1"/>
  <c r="AC112" i="6"/>
  <c r="AB112" i="6"/>
  <c r="AA112" i="6"/>
  <c r="V112" i="6"/>
  <c r="U112" i="6"/>
  <c r="Z112" i="6"/>
  <c r="T112" i="6"/>
  <c r="AI116" i="6"/>
  <c r="AH116" i="6"/>
  <c r="AG116" i="6"/>
  <c r="AL116" i="6"/>
  <c r="AK116" i="6"/>
  <c r="AM116" i="6"/>
  <c r="AF116" i="6"/>
  <c r="AO116" i="6"/>
  <c r="AN116" i="6"/>
  <c r="AJ116" i="6"/>
  <c r="AP116" i="6"/>
  <c r="BC116" i="6" s="1"/>
  <c r="K125" i="6"/>
  <c r="AP124" i="6"/>
  <c r="AH124" i="6"/>
  <c r="AK124" i="6"/>
  <c r="AJ124" i="6"/>
  <c r="AI124" i="6"/>
  <c r="AG124" i="6"/>
  <c r="AO124" i="6"/>
  <c r="AN124" i="6"/>
  <c r="AM124" i="6"/>
  <c r="AF124" i="6"/>
  <c r="AL124" i="6"/>
  <c r="BP123" i="6"/>
  <c r="AA124" i="6"/>
  <c r="AD124" i="6"/>
  <c r="AQ124" i="6" s="1"/>
  <c r="AC124" i="6"/>
  <c r="Y124" i="6"/>
  <c r="X124" i="6"/>
  <c r="T124" i="6"/>
  <c r="BR124" i="6" s="1"/>
  <c r="U124" i="6"/>
  <c r="AB124" i="6"/>
  <c r="W124" i="6"/>
  <c r="Z124" i="6"/>
  <c r="V124" i="6"/>
  <c r="BT113" i="6"/>
  <c r="J125" i="6"/>
  <c r="AU114" i="6"/>
  <c r="AT114" i="6"/>
  <c r="AW114" i="6"/>
  <c r="AS114" i="6"/>
  <c r="AR114" i="6"/>
  <c r="AY114" i="6"/>
  <c r="BA114" i="6"/>
  <c r="AZ114" i="6"/>
  <c r="BB114" i="6"/>
  <c r="AX114" i="6"/>
  <c r="AV114" i="6"/>
  <c r="BT122" i="6"/>
  <c r="BS122" i="6"/>
  <c r="L125" i="6"/>
  <c r="AD116" i="6"/>
  <c r="AQ116" i="6" s="1"/>
  <c r="AC116" i="6"/>
  <c r="AB116" i="6"/>
  <c r="T116" i="6"/>
  <c r="Y116" i="6"/>
  <c r="X116" i="6"/>
  <c r="U116" i="6"/>
  <c r="W116" i="6"/>
  <c r="AA116" i="6"/>
  <c r="V116" i="6"/>
  <c r="Z116" i="6"/>
  <c r="BA110" i="6"/>
  <c r="AZ110" i="6"/>
  <c r="AY110" i="6"/>
  <c r="AX110" i="6"/>
  <c r="AW110" i="6"/>
  <c r="BB110" i="6"/>
  <c r="AV110" i="6"/>
  <c r="AT110" i="6"/>
  <c r="AS110" i="6"/>
  <c r="AR110" i="6"/>
  <c r="AU110" i="6"/>
  <c r="BP108" i="6"/>
  <c r="AK117" i="6"/>
  <c r="AJ117" i="6"/>
  <c r="AI117" i="6"/>
  <c r="AN117" i="6"/>
  <c r="AM117" i="6"/>
  <c r="AL117" i="6"/>
  <c r="AH117" i="6"/>
  <c r="AG117" i="6"/>
  <c r="AF117" i="6"/>
  <c r="AP117" i="6"/>
  <c r="BC117" i="6" s="1"/>
  <c r="AO117" i="6"/>
  <c r="BP117" i="6"/>
  <c r="H125" i="6"/>
  <c r="BQ122" i="6"/>
  <c r="BP116" i="6"/>
  <c r="AH115" i="6"/>
  <c r="AG115" i="6"/>
  <c r="AF115" i="6"/>
  <c r="AO115" i="6"/>
  <c r="AN115" i="6"/>
  <c r="AM115" i="6"/>
  <c r="AL115" i="6"/>
  <c r="AP115" i="6"/>
  <c r="BC115" i="6" s="1"/>
  <c r="AK115" i="6"/>
  <c r="AJ115" i="6"/>
  <c r="AI115" i="6"/>
  <c r="AO108" i="6"/>
  <c r="AN108" i="6"/>
  <c r="AM108" i="6"/>
  <c r="AG108" i="6"/>
  <c r="AF108" i="6"/>
  <c r="AJ108" i="6"/>
  <c r="AI108" i="6"/>
  <c r="AH108" i="6"/>
  <c r="AK108" i="6"/>
  <c r="AP108" i="6"/>
  <c r="BC108" i="6" s="1"/>
  <c r="AL108" i="6"/>
  <c r="G125" i="6"/>
  <c r="BP122" i="6"/>
  <c r="L119" i="6"/>
  <c r="Z123" i="6"/>
  <c r="Y123" i="6"/>
  <c r="X123" i="6"/>
  <c r="W123" i="6"/>
  <c r="V123" i="6"/>
  <c r="U123" i="6"/>
  <c r="AB123" i="6"/>
  <c r="AA123" i="6"/>
  <c r="T123" i="6"/>
  <c r="BR123" i="6" s="1"/>
  <c r="AD123" i="6"/>
  <c r="AC123" i="6"/>
  <c r="BR113" i="6"/>
  <c r="M119" i="6"/>
  <c r="N125" i="6"/>
  <c r="BQ109" i="6"/>
  <c r="AK123" i="6"/>
  <c r="AN123" i="6"/>
  <c r="AM123" i="6"/>
  <c r="AP123" i="6"/>
  <c r="AO123" i="6"/>
  <c r="AL123" i="6"/>
  <c r="AJ123" i="6"/>
  <c r="AH123" i="6"/>
  <c r="AG123" i="6"/>
  <c r="AF123" i="6"/>
  <c r="AI123" i="6"/>
  <c r="AU122" i="6"/>
  <c r="BL122" i="6"/>
  <c r="BK122" i="6"/>
  <c r="BJ122" i="6"/>
  <c r="AZ122" i="6"/>
  <c r="AY122" i="6"/>
  <c r="AX122" i="6"/>
  <c r="BB122" i="6"/>
  <c r="BA122" i="6"/>
  <c r="AW122" i="6"/>
  <c r="BN122" i="6"/>
  <c r="BM122" i="6"/>
  <c r="BD122" i="6"/>
  <c r="BC122" i="6"/>
  <c r="AV122" i="6"/>
  <c r="AT122" i="6"/>
  <c r="BG122" i="6"/>
  <c r="BF122" i="6"/>
  <c r="BI122" i="6"/>
  <c r="BH122" i="6"/>
  <c r="AR122" i="6"/>
  <c r="BE122" i="6"/>
  <c r="AS122" i="6"/>
  <c r="BQ111" i="6"/>
  <c r="I32" i="6"/>
  <c r="I67" i="6" s="1"/>
  <c r="H84" i="6"/>
  <c r="I11" i="6"/>
  <c r="H67" i="6"/>
  <c r="G44" i="6"/>
  <c r="H31" i="6"/>
  <c r="H10" i="6"/>
  <c r="AP107" i="6"/>
  <c r="AO107" i="6"/>
  <c r="AE119" i="6"/>
  <c r="AN107" i="6"/>
  <c r="AM107" i="6"/>
  <c r="AL107" i="6"/>
  <c r="AK107" i="6"/>
  <c r="AJ107" i="6"/>
  <c r="AI107" i="6"/>
  <c r="AH107" i="6"/>
  <c r="AG107" i="6"/>
  <c r="AF107" i="6"/>
  <c r="G119" i="6"/>
  <c r="BP107" i="6"/>
  <c r="H45" i="6"/>
  <c r="G82" i="6"/>
  <c r="H30" i="6"/>
  <c r="H9" i="6"/>
  <c r="AX109" i="6"/>
  <c r="AW109" i="6"/>
  <c r="BB109" i="6"/>
  <c r="BA109" i="6"/>
  <c r="AZ109" i="6"/>
  <c r="AV109" i="6"/>
  <c r="AU109" i="6"/>
  <c r="AT109" i="6"/>
  <c r="AS109" i="6"/>
  <c r="AR109" i="6"/>
  <c r="AY109" i="6"/>
  <c r="J119" i="6"/>
  <c r="BQ123" i="6"/>
  <c r="G63" i="2"/>
  <c r="G24" i="6" s="1"/>
  <c r="G65" i="2"/>
  <c r="G26" i="6" s="1"/>
  <c r="G64" i="2"/>
  <c r="G25" i="6" s="1"/>
  <c r="K119" i="6"/>
  <c r="BP124" i="6"/>
  <c r="BQ114" i="6"/>
  <c r="G42" i="2"/>
  <c r="G17" i="6" s="1"/>
  <c r="G41" i="2"/>
  <c r="G16" i="6" s="1"/>
  <c r="G40" i="2"/>
  <c r="G15" i="6" s="1"/>
  <c r="G34" i="2"/>
  <c r="G13" i="6" s="1"/>
  <c r="G33" i="2"/>
  <c r="G12" i="6" s="1"/>
  <c r="G35" i="2"/>
  <c r="G14" i="6" s="1"/>
  <c r="G48" i="2"/>
  <c r="G18" i="6" s="1"/>
  <c r="G50" i="2"/>
  <c r="G20" i="6" s="1"/>
  <c r="G49" i="2"/>
  <c r="G19" i="6" s="1"/>
  <c r="BP111" i="6"/>
  <c r="Z117" i="6"/>
  <c r="Y117" i="6"/>
  <c r="X117" i="6"/>
  <c r="AD117" i="6"/>
  <c r="AQ117" i="6" s="1"/>
  <c r="AC117" i="6"/>
  <c r="U117" i="6"/>
  <c r="W117" i="6"/>
  <c r="V117" i="6"/>
  <c r="AB117" i="6"/>
  <c r="AA117" i="6"/>
  <c r="T117" i="6"/>
  <c r="BQ124" i="6"/>
  <c r="AC115" i="6"/>
  <c r="AB115" i="6"/>
  <c r="AD115" i="6"/>
  <c r="AQ115" i="6" s="1"/>
  <c r="AA115" i="6"/>
  <c r="Z115" i="6"/>
  <c r="T115" i="6"/>
  <c r="X115" i="6"/>
  <c r="W115" i="6"/>
  <c r="V115" i="6"/>
  <c r="U115" i="6"/>
  <c r="Y115" i="6"/>
  <c r="G58" i="2"/>
  <c r="G23" i="6" s="1"/>
  <c r="G56" i="2"/>
  <c r="G21" i="6" s="1"/>
  <c r="G57" i="2"/>
  <c r="G22" i="6" s="1"/>
  <c r="BT110" i="6" l="1"/>
  <c r="AJ125" i="6"/>
  <c r="AK125" i="6"/>
  <c r="AB125" i="6"/>
  <c r="X125" i="6"/>
  <c r="BQ107" i="6"/>
  <c r="BG118" i="6"/>
  <c r="BI118" i="6"/>
  <c r="BH118" i="6"/>
  <c r="U125" i="6"/>
  <c r="BR125" i="6"/>
  <c r="E10" i="7" s="1"/>
  <c r="V125" i="6"/>
  <c r="BD118" i="6"/>
  <c r="W125" i="6"/>
  <c r="BF118" i="6"/>
  <c r="Y119" i="6"/>
  <c r="BK118" i="6"/>
  <c r="BT109" i="6"/>
  <c r="AP125" i="6"/>
  <c r="Y125" i="6"/>
  <c r="AH125" i="6"/>
  <c r="BQ108" i="6"/>
  <c r="C8" i="8" s="1"/>
  <c r="AW118" i="6"/>
  <c r="AX118" i="6"/>
  <c r="AC119" i="6"/>
  <c r="AY118" i="6"/>
  <c r="Z125" i="6"/>
  <c r="BA118" i="6"/>
  <c r="BT124" i="6"/>
  <c r="AI125" i="6"/>
  <c r="AO125" i="6"/>
  <c r="AZ118" i="6"/>
  <c r="BQ118" i="6"/>
  <c r="AN119" i="6"/>
  <c r="T125" i="6"/>
  <c r="BS114" i="6"/>
  <c r="BR112" i="6"/>
  <c r="BS110" i="6"/>
  <c r="BS109" i="6"/>
  <c r="BB118" i="6"/>
  <c r="BR116" i="6"/>
  <c r="U119" i="6"/>
  <c r="X119" i="6"/>
  <c r="BS124" i="6"/>
  <c r="Z119" i="6"/>
  <c r="BR117" i="6"/>
  <c r="AB119" i="6"/>
  <c r="AD119" i="6"/>
  <c r="AA119" i="6"/>
  <c r="BR108" i="6"/>
  <c r="AM125" i="6"/>
  <c r="BS123" i="6"/>
  <c r="BS111" i="6"/>
  <c r="AN125" i="6"/>
  <c r="BR111" i="6"/>
  <c r="BR115" i="6"/>
  <c r="T119" i="6"/>
  <c r="BR118" i="6"/>
  <c r="AC125" i="6"/>
  <c r="BM118" i="6"/>
  <c r="AR118" i="6"/>
  <c r="AT118" i="6"/>
  <c r="BN118" i="6"/>
  <c r="AS118" i="6"/>
  <c r="BT123" i="6"/>
  <c r="BJ118" i="6"/>
  <c r="AU118" i="6"/>
  <c r="AA125" i="6"/>
  <c r="BL118" i="6"/>
  <c r="G27" i="6"/>
  <c r="AM119" i="6"/>
  <c r="H23" i="6"/>
  <c r="G96" i="6"/>
  <c r="G57" i="6"/>
  <c r="H18" i="6"/>
  <c r="G91" i="6"/>
  <c r="G52" i="6"/>
  <c r="H66" i="6"/>
  <c r="BM117" i="6"/>
  <c r="BL117" i="6"/>
  <c r="BK117" i="6"/>
  <c r="BE117" i="6"/>
  <c r="BD117" i="6"/>
  <c r="BJ117" i="6"/>
  <c r="BI117" i="6"/>
  <c r="BG117" i="6"/>
  <c r="BN117" i="6"/>
  <c r="BF117" i="6"/>
  <c r="BH117" i="6"/>
  <c r="AT107" i="6"/>
  <c r="AS107" i="6"/>
  <c r="AQ119" i="6"/>
  <c r="BA107" i="6"/>
  <c r="AZ107" i="6"/>
  <c r="AY107" i="6"/>
  <c r="AX107" i="6"/>
  <c r="BB107" i="6"/>
  <c r="AW107" i="6"/>
  <c r="AV107" i="6"/>
  <c r="AU107" i="6"/>
  <c r="AR107" i="6"/>
  <c r="G87" i="6"/>
  <c r="H14" i="6"/>
  <c r="G48" i="6"/>
  <c r="BI111" i="6"/>
  <c r="BH111" i="6"/>
  <c r="BG111" i="6"/>
  <c r="BN111" i="6"/>
  <c r="BE111" i="6"/>
  <c r="BD111" i="6"/>
  <c r="BJ111" i="6"/>
  <c r="BF111" i="6"/>
  <c r="BM111" i="6"/>
  <c r="BL111" i="6"/>
  <c r="BK111" i="6"/>
  <c r="H82" i="6"/>
  <c r="I30" i="6"/>
  <c r="I9" i="6"/>
  <c r="H43" i="6"/>
  <c r="AP119" i="6"/>
  <c r="BC107" i="6"/>
  <c r="BI112" i="6"/>
  <c r="BH112" i="6"/>
  <c r="BN112" i="6"/>
  <c r="BM112" i="6"/>
  <c r="BL112" i="6"/>
  <c r="BK112" i="6"/>
  <c r="BE112" i="6"/>
  <c r="BD112" i="6"/>
  <c r="BG112" i="6"/>
  <c r="BF112" i="6"/>
  <c r="BJ112" i="6"/>
  <c r="BQ116" i="6"/>
  <c r="H65" i="6"/>
  <c r="BQ115" i="6"/>
  <c r="AD125" i="6"/>
  <c r="AQ123" i="6"/>
  <c r="H19" i="6"/>
  <c r="G53" i="6"/>
  <c r="G92" i="6"/>
  <c r="H15" i="6"/>
  <c r="G88" i="6"/>
  <c r="G49" i="6"/>
  <c r="AU116" i="6"/>
  <c r="AT116" i="6"/>
  <c r="AS116" i="6"/>
  <c r="BB116" i="6"/>
  <c r="BA116" i="6"/>
  <c r="AZ116" i="6"/>
  <c r="AY116" i="6"/>
  <c r="AW116" i="6"/>
  <c r="AV116" i="6"/>
  <c r="AR116" i="6"/>
  <c r="AX116" i="6"/>
  <c r="H44" i="6"/>
  <c r="I10" i="6"/>
  <c r="I31" i="6"/>
  <c r="I66" i="6" s="1"/>
  <c r="H83" i="6"/>
  <c r="H21" i="6"/>
  <c r="G55" i="6"/>
  <c r="G94" i="6"/>
  <c r="H12" i="6"/>
  <c r="G46" i="6"/>
  <c r="G85" i="6"/>
  <c r="H16" i="6"/>
  <c r="G50" i="6"/>
  <c r="G89" i="6"/>
  <c r="J32" i="6"/>
  <c r="J11" i="6"/>
  <c r="I45" i="6"/>
  <c r="I84" i="6"/>
  <c r="BE115" i="6"/>
  <c r="BD115" i="6"/>
  <c r="BM115" i="6"/>
  <c r="BL115" i="6"/>
  <c r="BK115" i="6"/>
  <c r="BN115" i="6"/>
  <c r="BJ115" i="6"/>
  <c r="BG115" i="6"/>
  <c r="BF115" i="6"/>
  <c r="BH115" i="6"/>
  <c r="BI115" i="6"/>
  <c r="BQ112" i="6"/>
  <c r="H22" i="6"/>
  <c r="G95" i="6"/>
  <c r="G56" i="6"/>
  <c r="H20" i="6"/>
  <c r="G93" i="6"/>
  <c r="G54" i="6"/>
  <c r="H13" i="6"/>
  <c r="G86" i="6"/>
  <c r="G47" i="6"/>
  <c r="AT115" i="6"/>
  <c r="AS115" i="6"/>
  <c r="AW115" i="6"/>
  <c r="AU115" i="6"/>
  <c r="AR115" i="6"/>
  <c r="AZ115" i="6"/>
  <c r="AY115" i="6"/>
  <c r="AX115" i="6"/>
  <c r="AV115" i="6"/>
  <c r="BB115" i="6"/>
  <c r="BA115" i="6"/>
  <c r="H17" i="6"/>
  <c r="G90" i="6"/>
  <c r="G51" i="6"/>
  <c r="H34" i="6"/>
  <c r="G98" i="6"/>
  <c r="H25" i="6"/>
  <c r="G59" i="6"/>
  <c r="AF125" i="6"/>
  <c r="H35" i="6"/>
  <c r="H26" i="6"/>
  <c r="G99" i="6"/>
  <c r="G60" i="6"/>
  <c r="AH119" i="6"/>
  <c r="AG125" i="6"/>
  <c r="BB112" i="6"/>
  <c r="BA112" i="6"/>
  <c r="AX112" i="6"/>
  <c r="AW112" i="6"/>
  <c r="AV112" i="6"/>
  <c r="AU112" i="6"/>
  <c r="AS112" i="6"/>
  <c r="AR112" i="6"/>
  <c r="AZ112" i="6"/>
  <c r="AT112" i="6"/>
  <c r="AY112" i="6"/>
  <c r="AJ119" i="6"/>
  <c r="AL125" i="6"/>
  <c r="BP119" i="6"/>
  <c r="C9" i="7" s="1"/>
  <c r="B8" i="8"/>
  <c r="BQ117" i="6"/>
  <c r="BC124" i="6"/>
  <c r="AR124" i="6"/>
  <c r="AY124" i="6"/>
  <c r="AX124" i="6"/>
  <c r="AW124" i="6"/>
  <c r="BN124" i="6"/>
  <c r="BM124" i="6"/>
  <c r="BL124" i="6"/>
  <c r="BE124" i="6"/>
  <c r="BD124" i="6"/>
  <c r="AV124" i="6"/>
  <c r="AU124" i="6"/>
  <c r="AT124" i="6"/>
  <c r="AS124" i="6"/>
  <c r="BA124" i="6"/>
  <c r="BK124" i="6"/>
  <c r="BJ124" i="6"/>
  <c r="BI124" i="6"/>
  <c r="BH124" i="6"/>
  <c r="BG124" i="6"/>
  <c r="BF124" i="6"/>
  <c r="AZ124" i="6"/>
  <c r="BB124" i="6"/>
  <c r="AG119" i="6"/>
  <c r="H33" i="6"/>
  <c r="H24" i="6"/>
  <c r="G97" i="6"/>
  <c r="G58" i="6"/>
  <c r="AI119" i="6"/>
  <c r="BP125" i="6"/>
  <c r="C10" i="7" s="1"/>
  <c r="AU108" i="6"/>
  <c r="AT108" i="6"/>
  <c r="BA108" i="6"/>
  <c r="AZ108" i="6"/>
  <c r="BB108" i="6"/>
  <c r="AY108" i="6"/>
  <c r="AX108" i="6"/>
  <c r="AW108" i="6"/>
  <c r="AV108" i="6"/>
  <c r="AS108" i="6"/>
  <c r="AR108" i="6"/>
  <c r="AK119" i="6"/>
  <c r="V119" i="6"/>
  <c r="BI116" i="6"/>
  <c r="BH116" i="6"/>
  <c r="BG116" i="6"/>
  <c r="BE116" i="6"/>
  <c r="BD116" i="6"/>
  <c r="BF116" i="6"/>
  <c r="BK116" i="6"/>
  <c r="BJ116" i="6"/>
  <c r="BM116" i="6"/>
  <c r="BL116" i="6"/>
  <c r="BN116" i="6"/>
  <c r="AO119" i="6"/>
  <c r="AF119" i="6"/>
  <c r="BR107" i="6"/>
  <c r="BQ125" i="6"/>
  <c r="D10" i="7" s="1"/>
  <c r="BA117" i="6"/>
  <c r="AZ117" i="6"/>
  <c r="AV117" i="6"/>
  <c r="AU117" i="6"/>
  <c r="AT117" i="6"/>
  <c r="AS117" i="6"/>
  <c r="AX117" i="6"/>
  <c r="AR117" i="6"/>
  <c r="AY117" i="6"/>
  <c r="AW117" i="6"/>
  <c r="BB117" i="6"/>
  <c r="AL119" i="6"/>
  <c r="BE108" i="6"/>
  <c r="BD108" i="6"/>
  <c r="BK108" i="6"/>
  <c r="BG108" i="6"/>
  <c r="BJ108" i="6"/>
  <c r="BI108" i="6"/>
  <c r="BM108" i="6"/>
  <c r="BL108" i="6"/>
  <c r="BH108" i="6"/>
  <c r="BF108" i="6"/>
  <c r="BN108" i="6"/>
  <c r="W119" i="6"/>
  <c r="BS125" i="6" l="1"/>
  <c r="F10" i="7" s="1"/>
  <c r="BT125" i="6"/>
  <c r="G10" i="7" s="1"/>
  <c r="BQ119" i="6"/>
  <c r="D9" i="7" s="1"/>
  <c r="BT112" i="6"/>
  <c r="BS116" i="6"/>
  <c r="H36" i="6"/>
  <c r="H64" i="6" s="1"/>
  <c r="BT118" i="6"/>
  <c r="BS108" i="6"/>
  <c r="BS117" i="6"/>
  <c r="BT111" i="6"/>
  <c r="BT115" i="6"/>
  <c r="BS112" i="6"/>
  <c r="AS119" i="6"/>
  <c r="BT116" i="6"/>
  <c r="BT108" i="6"/>
  <c r="AT119" i="6"/>
  <c r="BS115" i="6"/>
  <c r="BS118" i="6"/>
  <c r="BT117" i="6"/>
  <c r="I33" i="6"/>
  <c r="I68" i="6" s="1"/>
  <c r="I24" i="6"/>
  <c r="H57" i="6"/>
  <c r="H97" i="6"/>
  <c r="J67" i="6"/>
  <c r="H68" i="6"/>
  <c r="I22" i="6"/>
  <c r="H95" i="6"/>
  <c r="H55" i="6"/>
  <c r="H59" i="6"/>
  <c r="I25" i="6"/>
  <c r="I34" i="6"/>
  <c r="I69" i="6" s="1"/>
  <c r="H98" i="6"/>
  <c r="I16" i="6"/>
  <c r="H50" i="6"/>
  <c r="H89" i="6"/>
  <c r="G100" i="6"/>
  <c r="H81" i="6" s="1"/>
  <c r="H46" i="6"/>
  <c r="I12" i="6"/>
  <c r="H85" i="6"/>
  <c r="I17" i="6"/>
  <c r="H90" i="6"/>
  <c r="H51" i="6"/>
  <c r="I21" i="6"/>
  <c r="H58" i="6"/>
  <c r="H94" i="6"/>
  <c r="H54" i="6"/>
  <c r="BE107" i="6"/>
  <c r="BE119" i="6" s="1"/>
  <c r="BD107" i="6"/>
  <c r="BD119" i="6" s="1"/>
  <c r="BG107" i="6"/>
  <c r="BG119" i="6" s="1"/>
  <c r="BF107" i="6"/>
  <c r="BF119" i="6" s="1"/>
  <c r="BJ107" i="6"/>
  <c r="BJ119" i="6" s="1"/>
  <c r="BI107" i="6"/>
  <c r="BI119" i="6" s="1"/>
  <c r="BL107" i="6"/>
  <c r="BL119" i="6" s="1"/>
  <c r="BH107" i="6"/>
  <c r="BH119" i="6" s="1"/>
  <c r="BC119" i="6"/>
  <c r="BN107" i="6"/>
  <c r="BN119" i="6" s="1"/>
  <c r="BK107" i="6"/>
  <c r="BK119" i="6" s="1"/>
  <c r="BM107" i="6"/>
  <c r="BM119" i="6" s="1"/>
  <c r="AR119" i="6"/>
  <c r="AU119" i="6"/>
  <c r="H93" i="6"/>
  <c r="I20" i="6"/>
  <c r="BR119" i="6"/>
  <c r="E9" i="7" s="1"/>
  <c r="D8" i="8"/>
  <c r="AV119" i="6"/>
  <c r="I15" i="6"/>
  <c r="H49" i="6"/>
  <c r="H88" i="6"/>
  <c r="I44" i="6"/>
  <c r="J10" i="6"/>
  <c r="J31" i="6"/>
  <c r="I83" i="6"/>
  <c r="H53" i="6"/>
  <c r="I19" i="6"/>
  <c r="H92" i="6"/>
  <c r="AW119" i="6"/>
  <c r="I18" i="6"/>
  <c r="H91" i="6"/>
  <c r="H52" i="6"/>
  <c r="K11" i="6"/>
  <c r="K32" i="6"/>
  <c r="K67" i="6" s="1"/>
  <c r="J45" i="6"/>
  <c r="J84" i="6"/>
  <c r="I43" i="6"/>
  <c r="J30" i="6"/>
  <c r="I82" i="6"/>
  <c r="J9" i="6"/>
  <c r="BS107" i="6"/>
  <c r="H27" i="6"/>
  <c r="BB119" i="6"/>
  <c r="I13" i="6"/>
  <c r="H86" i="6"/>
  <c r="H47" i="6"/>
  <c r="H69" i="6"/>
  <c r="H87" i="6"/>
  <c r="I14" i="6"/>
  <c r="H48" i="6"/>
  <c r="AX119" i="6"/>
  <c r="BM123" i="6"/>
  <c r="BM125" i="6" s="1"/>
  <c r="BB123" i="6"/>
  <c r="BB125" i="6" s="1"/>
  <c r="BA123" i="6"/>
  <c r="BA125" i="6" s="1"/>
  <c r="AZ123" i="6"/>
  <c r="AZ125" i="6" s="1"/>
  <c r="AX123" i="6"/>
  <c r="AX125" i="6" s="1"/>
  <c r="AW123" i="6"/>
  <c r="AW125" i="6" s="1"/>
  <c r="AV123" i="6"/>
  <c r="AV125" i="6" s="1"/>
  <c r="BI123" i="6"/>
  <c r="BI125" i="6" s="1"/>
  <c r="BH123" i="6"/>
  <c r="BH125" i="6" s="1"/>
  <c r="BG123" i="6"/>
  <c r="BG125" i="6" s="1"/>
  <c r="BF123" i="6"/>
  <c r="BF125" i="6" s="1"/>
  <c r="AR123" i="6"/>
  <c r="AR125" i="6" s="1"/>
  <c r="AS123" i="6"/>
  <c r="AS125" i="6" s="1"/>
  <c r="AU123" i="6"/>
  <c r="AU125" i="6" s="1"/>
  <c r="AY123" i="6"/>
  <c r="AY125" i="6" s="1"/>
  <c r="AT123" i="6"/>
  <c r="AT125" i="6" s="1"/>
  <c r="BL123" i="6"/>
  <c r="BL125" i="6" s="1"/>
  <c r="BK123" i="6"/>
  <c r="BK125" i="6" s="1"/>
  <c r="BJ123" i="6"/>
  <c r="BJ125" i="6" s="1"/>
  <c r="BE123" i="6"/>
  <c r="BE125" i="6" s="1"/>
  <c r="BD123" i="6"/>
  <c r="BD125" i="6" s="1"/>
  <c r="BC123" i="6"/>
  <c r="BC125" i="6" s="1"/>
  <c r="BN123" i="6"/>
  <c r="BN125" i="6" s="1"/>
  <c r="AQ125" i="6"/>
  <c r="AY119" i="6"/>
  <c r="G61" i="6"/>
  <c r="I65" i="6"/>
  <c r="I23" i="6"/>
  <c r="H96" i="6"/>
  <c r="H56" i="6"/>
  <c r="H60" i="6"/>
  <c r="I35" i="6"/>
  <c r="I70" i="6" s="1"/>
  <c r="I26" i="6"/>
  <c r="H99" i="6"/>
  <c r="AZ119" i="6"/>
  <c r="H70" i="6"/>
  <c r="BA119" i="6"/>
  <c r="BT107" i="6" l="1"/>
  <c r="F8" i="8" s="1"/>
  <c r="J17" i="6"/>
  <c r="I51" i="6"/>
  <c r="I90" i="6"/>
  <c r="J22" i="6"/>
  <c r="I95" i="6"/>
  <c r="I56" i="6"/>
  <c r="J65" i="6"/>
  <c r="I96" i="6"/>
  <c r="J23" i="6"/>
  <c r="I57" i="6"/>
  <c r="I27" i="6"/>
  <c r="I87" i="6"/>
  <c r="J14" i="6"/>
  <c r="I48" i="6"/>
  <c r="J12" i="6"/>
  <c r="I85" i="6"/>
  <c r="I46" i="6"/>
  <c r="H100" i="6"/>
  <c r="I81" i="6" s="1"/>
  <c r="J18" i="6"/>
  <c r="I52" i="6"/>
  <c r="I91" i="6"/>
  <c r="I92" i="6"/>
  <c r="I53" i="6"/>
  <c r="J19" i="6"/>
  <c r="J16" i="6"/>
  <c r="I50" i="6"/>
  <c r="I89" i="6"/>
  <c r="J33" i="6"/>
  <c r="J24" i="6"/>
  <c r="I58" i="6"/>
  <c r="I97" i="6"/>
  <c r="K30" i="6"/>
  <c r="J82" i="6"/>
  <c r="J43" i="6"/>
  <c r="K9" i="6"/>
  <c r="I36" i="6"/>
  <c r="I64" i="6" s="1"/>
  <c r="I71" i="6" s="1"/>
  <c r="H71" i="6"/>
  <c r="J20" i="6"/>
  <c r="I93" i="6"/>
  <c r="I54" i="6"/>
  <c r="L32" i="6"/>
  <c r="L67" i="6" s="1"/>
  <c r="L11" i="6"/>
  <c r="K84" i="6"/>
  <c r="K45" i="6"/>
  <c r="J66" i="6"/>
  <c r="J15" i="6"/>
  <c r="I49" i="6"/>
  <c r="I88" i="6"/>
  <c r="J25" i="6"/>
  <c r="J34" i="6"/>
  <c r="J69" i="6" s="1"/>
  <c r="I98" i="6"/>
  <c r="I59" i="6"/>
  <c r="J21" i="6"/>
  <c r="I55" i="6"/>
  <c r="I94" i="6"/>
  <c r="G62" i="6"/>
  <c r="G73" i="6"/>
  <c r="G77" i="6"/>
  <c r="G103" i="6"/>
  <c r="H42" i="6"/>
  <c r="H61" i="6" s="1"/>
  <c r="J13" i="6"/>
  <c r="I86" i="6"/>
  <c r="I47" i="6"/>
  <c r="J83" i="6"/>
  <c r="K10" i="6"/>
  <c r="J44" i="6"/>
  <c r="K31" i="6"/>
  <c r="K66" i="6" s="1"/>
  <c r="J35" i="6"/>
  <c r="J70" i="6" s="1"/>
  <c r="J26" i="6"/>
  <c r="I60" i="6"/>
  <c r="I99" i="6"/>
  <c r="BS119" i="6"/>
  <c r="F9" i="7" s="1"/>
  <c r="E8" i="8"/>
  <c r="BT119" i="6" l="1"/>
  <c r="G9" i="7" s="1"/>
  <c r="J27" i="6"/>
  <c r="J93" i="6"/>
  <c r="K20" i="6"/>
  <c r="J54" i="6"/>
  <c r="K21" i="6"/>
  <c r="J94" i="6"/>
  <c r="J55" i="6"/>
  <c r="K16" i="6"/>
  <c r="J50" i="6"/>
  <c r="J89" i="6"/>
  <c r="K19" i="6"/>
  <c r="J53" i="6"/>
  <c r="J92" i="6"/>
  <c r="K17" i="6"/>
  <c r="J51" i="6"/>
  <c r="J90" i="6"/>
  <c r="G102" i="6"/>
  <c r="G129" i="6" s="1"/>
  <c r="G130" i="6" s="1"/>
  <c r="K65" i="6"/>
  <c r="J86" i="6"/>
  <c r="K13" i="6"/>
  <c r="J47" i="6"/>
  <c r="H62" i="6"/>
  <c r="H73" i="6"/>
  <c r="H103" i="6"/>
  <c r="H77" i="6"/>
  <c r="I42" i="6"/>
  <c r="I61" i="6" s="1"/>
  <c r="I100" i="6"/>
  <c r="J81" i="6" s="1"/>
  <c r="K14" i="6"/>
  <c r="J87" i="6"/>
  <c r="J48" i="6"/>
  <c r="K35" i="6"/>
  <c r="K70" i="6" s="1"/>
  <c r="K26" i="6"/>
  <c r="J99" i="6"/>
  <c r="J60" i="6"/>
  <c r="J96" i="6"/>
  <c r="K23" i="6"/>
  <c r="J57" i="6"/>
  <c r="J68" i="6"/>
  <c r="K22" i="6"/>
  <c r="J95" i="6"/>
  <c r="J56" i="6"/>
  <c r="K18" i="6"/>
  <c r="J91" i="6"/>
  <c r="J52" i="6"/>
  <c r="K82" i="6"/>
  <c r="L9" i="6"/>
  <c r="L30" i="6"/>
  <c r="K43" i="6"/>
  <c r="K15" i="6"/>
  <c r="J49" i="6"/>
  <c r="J88" i="6"/>
  <c r="L31" i="6"/>
  <c r="K83" i="6"/>
  <c r="L10" i="6"/>
  <c r="K44" i="6"/>
  <c r="J36" i="6"/>
  <c r="J64" i="6" s="1"/>
  <c r="J46" i="6"/>
  <c r="K12" i="6"/>
  <c r="J85" i="6"/>
  <c r="K25" i="6"/>
  <c r="K34" i="6"/>
  <c r="J59" i="6"/>
  <c r="J98" i="6"/>
  <c r="K33" i="6"/>
  <c r="K68" i="6" s="1"/>
  <c r="K24" i="6"/>
  <c r="J58" i="6"/>
  <c r="J97" i="6"/>
  <c r="M32" i="6"/>
  <c r="M67" i="6" s="1"/>
  <c r="M11" i="6"/>
  <c r="L45" i="6"/>
  <c r="L84" i="6"/>
  <c r="J71" i="6" l="1"/>
  <c r="J100" i="6"/>
  <c r="K81" i="6" s="1"/>
  <c r="M31" i="6"/>
  <c r="M66" i="6" s="1"/>
  <c r="L44" i="6"/>
  <c r="L83" i="6"/>
  <c r="M10" i="6"/>
  <c r="K49" i="6"/>
  <c r="L15" i="6"/>
  <c r="K88" i="6"/>
  <c r="L24" i="6"/>
  <c r="L33" i="6"/>
  <c r="L68" i="6" s="1"/>
  <c r="K97" i="6"/>
  <c r="K58" i="6"/>
  <c r="H102" i="6"/>
  <c r="H129" i="6" s="1"/>
  <c r="H130" i="6" s="1"/>
  <c r="L19" i="6"/>
  <c r="K53" i="6"/>
  <c r="K92" i="6"/>
  <c r="L66" i="6"/>
  <c r="L82" i="6"/>
  <c r="M9" i="6"/>
  <c r="M30" i="6"/>
  <c r="L43" i="6"/>
  <c r="K96" i="6"/>
  <c r="L23" i="6"/>
  <c r="K57" i="6"/>
  <c r="N32" i="6"/>
  <c r="N67" i="6" s="1"/>
  <c r="N11" i="6"/>
  <c r="M84" i="6"/>
  <c r="M45" i="6"/>
  <c r="I103" i="6"/>
  <c r="I73" i="6"/>
  <c r="I62" i="6"/>
  <c r="J42" i="6"/>
  <c r="J61" i="6" s="1"/>
  <c r="I77" i="6"/>
  <c r="K93" i="6"/>
  <c r="L20" i="6"/>
  <c r="K54" i="6"/>
  <c r="K50" i="6"/>
  <c r="K89" i="6"/>
  <c r="L16" i="6"/>
  <c r="K69" i="6"/>
  <c r="L65" i="6"/>
  <c r="L12" i="6"/>
  <c r="K46" i="6"/>
  <c r="K85" i="6"/>
  <c r="L22" i="6"/>
  <c r="K95" i="6"/>
  <c r="K56" i="6"/>
  <c r="L21" i="6"/>
  <c r="K94" i="6"/>
  <c r="K55" i="6"/>
  <c r="K86" i="6"/>
  <c r="K47" i="6"/>
  <c r="L13" i="6"/>
  <c r="L18" i="6"/>
  <c r="K52" i="6"/>
  <c r="K91" i="6"/>
  <c r="K36" i="6"/>
  <c r="K64" i="6" s="1"/>
  <c r="L17" i="6"/>
  <c r="K51" i="6"/>
  <c r="K90" i="6"/>
  <c r="L35" i="6"/>
  <c r="L26" i="6"/>
  <c r="K99" i="6"/>
  <c r="K60" i="6"/>
  <c r="L14" i="6"/>
  <c r="K48" i="6"/>
  <c r="K87" i="6"/>
  <c r="K27" i="6"/>
  <c r="L25" i="6"/>
  <c r="K98" i="6"/>
  <c r="L34" i="6"/>
  <c r="L69" i="6" s="1"/>
  <c r="K59" i="6"/>
  <c r="K100" i="6" l="1"/>
  <c r="L81" i="6" s="1"/>
  <c r="M18" i="6"/>
  <c r="L91" i="6"/>
  <c r="L52" i="6"/>
  <c r="L86" i="6"/>
  <c r="L47" i="6"/>
  <c r="M13" i="6"/>
  <c r="J103" i="6"/>
  <c r="J73" i="6"/>
  <c r="J62" i="6"/>
  <c r="J77" i="6"/>
  <c r="K42" i="6"/>
  <c r="K61" i="6" s="1"/>
  <c r="I102" i="6"/>
  <c r="I129" i="6" s="1"/>
  <c r="I130" i="6" s="1"/>
  <c r="L93" i="6"/>
  <c r="M20" i="6"/>
  <c r="L54" i="6"/>
  <c r="M21" i="6"/>
  <c r="L94" i="6"/>
  <c r="L55" i="6"/>
  <c r="O11" i="6"/>
  <c r="O32" i="6"/>
  <c r="O67" i="6" s="1"/>
  <c r="N84" i="6"/>
  <c r="N45" i="6"/>
  <c r="N31" i="6"/>
  <c r="N66" i="6" s="1"/>
  <c r="M83" i="6"/>
  <c r="M44" i="6"/>
  <c r="N10" i="6"/>
  <c r="M24" i="6"/>
  <c r="M33" i="6"/>
  <c r="M68" i="6" s="1"/>
  <c r="L58" i="6"/>
  <c r="L97" i="6"/>
  <c r="M25" i="6"/>
  <c r="L98" i="6"/>
  <c r="M34" i="6"/>
  <c r="M69" i="6" s="1"/>
  <c r="L59" i="6"/>
  <c r="M12" i="6"/>
  <c r="L85" i="6"/>
  <c r="L46" i="6"/>
  <c r="M35" i="6"/>
  <c r="M70" i="6" s="1"/>
  <c r="M26" i="6"/>
  <c r="L60" i="6"/>
  <c r="L99" i="6"/>
  <c r="M65" i="6"/>
  <c r="M22" i="6"/>
  <c r="L56" i="6"/>
  <c r="L95" i="6"/>
  <c r="L96" i="6"/>
  <c r="M23" i="6"/>
  <c r="L57" i="6"/>
  <c r="M16" i="6"/>
  <c r="L89" i="6"/>
  <c r="L50" i="6"/>
  <c r="M15" i="6"/>
  <c r="L88" i="6"/>
  <c r="L49" i="6"/>
  <c r="M14" i="6"/>
  <c r="L48" i="6"/>
  <c r="L87" i="6"/>
  <c r="L36" i="6"/>
  <c r="L64" i="6" s="1"/>
  <c r="L70" i="6"/>
  <c r="K71" i="6"/>
  <c r="L27" i="6"/>
  <c r="M19" i="6"/>
  <c r="L53" i="6"/>
  <c r="L92" i="6"/>
  <c r="L90" i="6"/>
  <c r="M17" i="6"/>
  <c r="L51" i="6"/>
  <c r="M82" i="6"/>
  <c r="N30" i="6"/>
  <c r="N9" i="6"/>
  <c r="M43" i="6"/>
  <c r="M36" i="6" l="1"/>
  <c r="M64" i="6" s="1"/>
  <c r="M71" i="6" s="1"/>
  <c r="M27" i="6"/>
  <c r="L100" i="6"/>
  <c r="M81" i="6" s="1"/>
  <c r="M89" i="6"/>
  <c r="N16" i="6"/>
  <c r="M50" i="6"/>
  <c r="N22" i="6"/>
  <c r="M95" i="6"/>
  <c r="M56" i="6"/>
  <c r="M94" i="6"/>
  <c r="N21" i="6"/>
  <c r="M55" i="6"/>
  <c r="O30" i="6"/>
  <c r="O9" i="6"/>
  <c r="N82" i="6"/>
  <c r="N43" i="6"/>
  <c r="N65" i="6"/>
  <c r="P32" i="6"/>
  <c r="P67" i="6" s="1"/>
  <c r="P11" i="6"/>
  <c r="O45" i="6"/>
  <c r="O84" i="6"/>
  <c r="L71" i="6"/>
  <c r="M90" i="6"/>
  <c r="N17" i="6"/>
  <c r="M51" i="6"/>
  <c r="M46" i="6"/>
  <c r="N12" i="6"/>
  <c r="M85" i="6"/>
  <c r="J102" i="6"/>
  <c r="J129" i="6" s="1"/>
  <c r="J130" i="6" s="1"/>
  <c r="N15" i="6"/>
  <c r="M49" i="6"/>
  <c r="M88" i="6"/>
  <c r="N33" i="6"/>
  <c r="N24" i="6"/>
  <c r="M97" i="6"/>
  <c r="M58" i="6"/>
  <c r="N83" i="6"/>
  <c r="N44" i="6"/>
  <c r="O31" i="6"/>
  <c r="O66" i="6" s="1"/>
  <c r="O10" i="6"/>
  <c r="M96" i="6"/>
  <c r="N23" i="6"/>
  <c r="M57" i="6"/>
  <c r="N35" i="6"/>
  <c r="N70" i="6" s="1"/>
  <c r="N26" i="6"/>
  <c r="M60" i="6"/>
  <c r="M99" i="6"/>
  <c r="N25" i="6"/>
  <c r="N34" i="6"/>
  <c r="M98" i="6"/>
  <c r="M59" i="6"/>
  <c r="M92" i="6"/>
  <c r="N19" i="6"/>
  <c r="M53" i="6"/>
  <c r="M93" i="6"/>
  <c r="N20" i="6"/>
  <c r="M54" i="6"/>
  <c r="K103" i="6"/>
  <c r="K62" i="6"/>
  <c r="L42" i="6"/>
  <c r="L61" i="6" s="1"/>
  <c r="K77" i="6"/>
  <c r="K73" i="6"/>
  <c r="N14" i="6"/>
  <c r="M48" i="6"/>
  <c r="M87" i="6"/>
  <c r="N13" i="6"/>
  <c r="M86" i="6"/>
  <c r="M47" i="6"/>
  <c r="N18" i="6"/>
  <c r="M91" i="6"/>
  <c r="M52" i="6"/>
  <c r="K102" i="6" l="1"/>
  <c r="K129" i="6" s="1"/>
  <c r="K130" i="6" s="1"/>
  <c r="N27" i="6"/>
  <c r="M100" i="6"/>
  <c r="N81" i="6" s="1"/>
  <c r="O25" i="6"/>
  <c r="O34" i="6"/>
  <c r="O69" i="6" s="1"/>
  <c r="N59" i="6"/>
  <c r="N98" i="6"/>
  <c r="O18" i="6"/>
  <c r="N91" i="6"/>
  <c r="N52" i="6"/>
  <c r="Q11" i="6"/>
  <c r="P45" i="6"/>
  <c r="Q32" i="6"/>
  <c r="Q67" i="6" s="1"/>
  <c r="P84" i="6"/>
  <c r="O23" i="6"/>
  <c r="N57" i="6"/>
  <c r="N96" i="6"/>
  <c r="O44" i="6"/>
  <c r="P31" i="6"/>
  <c r="P66" i="6" s="1"/>
  <c r="O83" i="6"/>
  <c r="P10" i="6"/>
  <c r="N97" i="6"/>
  <c r="O33" i="6"/>
  <c r="O68" i="6" s="1"/>
  <c r="O24" i="6"/>
  <c r="N58" i="6"/>
  <c r="N68" i="6"/>
  <c r="O22" i="6"/>
  <c r="N56" i="6"/>
  <c r="N95" i="6"/>
  <c r="O12" i="6"/>
  <c r="N85" i="6"/>
  <c r="N46" i="6"/>
  <c r="L103" i="6"/>
  <c r="M42" i="6"/>
  <c r="M61" i="6" s="1"/>
  <c r="L77" i="6"/>
  <c r="L73" i="6"/>
  <c r="L102" i="6" s="1"/>
  <c r="L129" i="6" s="1"/>
  <c r="L62" i="6"/>
  <c r="N93" i="6"/>
  <c r="O20" i="6"/>
  <c r="N54" i="6"/>
  <c r="O13" i="6"/>
  <c r="N86" i="6"/>
  <c r="N47" i="6"/>
  <c r="O14" i="6"/>
  <c r="N48" i="6"/>
  <c r="N87" i="6"/>
  <c r="O65" i="6"/>
  <c r="N94" i="6"/>
  <c r="O21" i="6"/>
  <c r="N55" i="6"/>
  <c r="O16" i="6"/>
  <c r="N89" i="6"/>
  <c r="N50" i="6"/>
  <c r="N69" i="6"/>
  <c r="O26" i="6"/>
  <c r="O35" i="6"/>
  <c r="O70" i="6" s="1"/>
  <c r="N60" i="6"/>
  <c r="N99" i="6"/>
  <c r="N36" i="6"/>
  <c r="N64" i="6" s="1"/>
  <c r="P30" i="6"/>
  <c r="P9" i="6"/>
  <c r="O82" i="6"/>
  <c r="O43" i="6"/>
  <c r="N49" i="6"/>
  <c r="O15" i="6"/>
  <c r="N88" i="6"/>
  <c r="N92" i="6"/>
  <c r="O19" i="6"/>
  <c r="N53" i="6"/>
  <c r="N90" i="6"/>
  <c r="O17" i="6"/>
  <c r="N51" i="6"/>
  <c r="L130" i="6" l="1"/>
  <c r="N100" i="6"/>
  <c r="O81" i="6" s="1"/>
  <c r="P14" i="6"/>
  <c r="O87" i="6"/>
  <c r="O48" i="6"/>
  <c r="O90" i="6"/>
  <c r="P17" i="6"/>
  <c r="O51" i="6"/>
  <c r="P19" i="6"/>
  <c r="O92" i="6"/>
  <c r="O53" i="6"/>
  <c r="O49" i="6"/>
  <c r="P15" i="6"/>
  <c r="O88" i="6"/>
  <c r="O94" i="6"/>
  <c r="P21" i="6"/>
  <c r="O55" i="6"/>
  <c r="P23" i="6"/>
  <c r="O96" i="6"/>
  <c r="O57" i="6"/>
  <c r="O93" i="6"/>
  <c r="P20" i="6"/>
  <c r="O54" i="6"/>
  <c r="R11" i="6"/>
  <c r="R32" i="6"/>
  <c r="Q45" i="6"/>
  <c r="Q84" i="6"/>
  <c r="M103" i="6"/>
  <c r="M77" i="6"/>
  <c r="N42" i="6"/>
  <c r="N61" i="6" s="1"/>
  <c r="M73" i="6"/>
  <c r="M102" i="6" s="1"/>
  <c r="M129" i="6" s="1"/>
  <c r="M130" i="6" s="1"/>
  <c r="M62" i="6"/>
  <c r="P18" i="6"/>
  <c r="O52" i="6"/>
  <c r="O91" i="6"/>
  <c r="P16" i="6"/>
  <c r="O50" i="6"/>
  <c r="O89" i="6"/>
  <c r="Q31" i="6"/>
  <c r="Q66" i="6" s="1"/>
  <c r="P44" i="6"/>
  <c r="Q10" i="6"/>
  <c r="P83" i="6"/>
  <c r="P12" i="6"/>
  <c r="O85" i="6"/>
  <c r="O46" i="6"/>
  <c r="P33" i="6"/>
  <c r="P68" i="6" s="1"/>
  <c r="O97" i="6"/>
  <c r="P24" i="6"/>
  <c r="O58" i="6"/>
  <c r="O36" i="6"/>
  <c r="O64" i="6" s="1"/>
  <c r="O71" i="6" s="1"/>
  <c r="O86" i="6"/>
  <c r="P13" i="6"/>
  <c r="O47" i="6"/>
  <c r="O27" i="6"/>
  <c r="P35" i="6"/>
  <c r="P70" i="6" s="1"/>
  <c r="P26" i="6"/>
  <c r="O60" i="6"/>
  <c r="O99" i="6"/>
  <c r="P22" i="6"/>
  <c r="O95" i="6"/>
  <c r="O56" i="6"/>
  <c r="Q30" i="6"/>
  <c r="Q9" i="6"/>
  <c r="P82" i="6"/>
  <c r="P43" i="6"/>
  <c r="P65" i="6"/>
  <c r="N71" i="6"/>
  <c r="P25" i="6"/>
  <c r="P34" i="6"/>
  <c r="P69" i="6" s="1"/>
  <c r="O59" i="6"/>
  <c r="O98" i="6"/>
  <c r="P27" i="6" l="1"/>
  <c r="O100" i="6"/>
  <c r="P81" i="6" s="1"/>
  <c r="P98" i="6"/>
  <c r="Q34" i="6"/>
  <c r="Q69" i="6" s="1"/>
  <c r="Q25" i="6"/>
  <c r="P59" i="6"/>
  <c r="Q13" i="6"/>
  <c r="P86" i="6"/>
  <c r="P47" i="6"/>
  <c r="P96" i="6"/>
  <c r="Q23" i="6"/>
  <c r="P57" i="6"/>
  <c r="R10" i="6"/>
  <c r="R31" i="6"/>
  <c r="Q44" i="6"/>
  <c r="Q83" i="6"/>
  <c r="P49" i="6"/>
  <c r="Q15" i="6"/>
  <c r="P88" i="6"/>
  <c r="Q33" i="6"/>
  <c r="Q68" i="6" s="1"/>
  <c r="Q24" i="6"/>
  <c r="P97" i="6"/>
  <c r="P58" i="6"/>
  <c r="P46" i="6"/>
  <c r="Q12" i="6"/>
  <c r="P85" i="6"/>
  <c r="R30" i="6"/>
  <c r="R9" i="6"/>
  <c r="Q82" i="6"/>
  <c r="Q43" i="6"/>
  <c r="P50" i="6"/>
  <c r="Q16" i="6"/>
  <c r="P89" i="6"/>
  <c r="N62" i="6"/>
  <c r="O42" i="6"/>
  <c r="O61" i="6" s="1"/>
  <c r="N103" i="6"/>
  <c r="N77" i="6"/>
  <c r="N73" i="6"/>
  <c r="N102" i="6" s="1"/>
  <c r="N129" i="6" s="1"/>
  <c r="N130" i="6" s="1"/>
  <c r="Q35" i="6"/>
  <c r="Q70" i="6" s="1"/>
  <c r="Q26" i="6"/>
  <c r="P60" i="6"/>
  <c r="P99" i="6"/>
  <c r="S32" i="6"/>
  <c r="S67" i="6" s="1"/>
  <c r="R45" i="6"/>
  <c r="BP45" i="6" s="1"/>
  <c r="S11" i="6"/>
  <c r="R84" i="6"/>
  <c r="BP84" i="6" s="1"/>
  <c r="BP11" i="6"/>
  <c r="P94" i="6"/>
  <c r="Q21" i="6"/>
  <c r="P55" i="6"/>
  <c r="Q19" i="6"/>
  <c r="P92" i="6"/>
  <c r="P53" i="6"/>
  <c r="P36" i="6"/>
  <c r="P64" i="6" s="1"/>
  <c r="P71" i="6" s="1"/>
  <c r="Q22" i="6"/>
  <c r="Q27" i="6" s="1"/>
  <c r="P95" i="6"/>
  <c r="P56" i="6"/>
  <c r="P90" i="6"/>
  <c r="Q17" i="6"/>
  <c r="P51" i="6"/>
  <c r="R67" i="6"/>
  <c r="BP67" i="6" s="1"/>
  <c r="BP32" i="6"/>
  <c r="Q20" i="6"/>
  <c r="P93" i="6"/>
  <c r="P54" i="6"/>
  <c r="Q65" i="6"/>
  <c r="Q18" i="6"/>
  <c r="P91" i="6"/>
  <c r="P52" i="6"/>
  <c r="Q14" i="6"/>
  <c r="P87" i="6"/>
  <c r="P48" i="6"/>
  <c r="P100" i="6" l="1"/>
  <c r="Q81" i="6" s="1"/>
  <c r="R19" i="6"/>
  <c r="Q92" i="6"/>
  <c r="Q53" i="6"/>
  <c r="R65" i="6"/>
  <c r="BP65" i="6" s="1"/>
  <c r="BP30" i="6"/>
  <c r="S45" i="6"/>
  <c r="T11" i="6"/>
  <c r="T32" i="6"/>
  <c r="S84" i="6"/>
  <c r="R22" i="6"/>
  <c r="Q95" i="6"/>
  <c r="Q56" i="6"/>
  <c r="Q49" i="6"/>
  <c r="R15" i="6"/>
  <c r="Q88" i="6"/>
  <c r="R66" i="6"/>
  <c r="BP66" i="6" s="1"/>
  <c r="BP31" i="6"/>
  <c r="Q97" i="6"/>
  <c r="R33" i="6"/>
  <c r="R24" i="6"/>
  <c r="Q58" i="6"/>
  <c r="Q87" i="6"/>
  <c r="R14" i="6"/>
  <c r="Q48" i="6"/>
  <c r="R13" i="6"/>
  <c r="Q86" i="6"/>
  <c r="Q47" i="6"/>
  <c r="R16" i="6"/>
  <c r="Q50" i="6"/>
  <c r="Q89" i="6"/>
  <c r="R34" i="6"/>
  <c r="R25" i="6"/>
  <c r="Q59" i="6"/>
  <c r="Q98" i="6"/>
  <c r="Q46" i="6"/>
  <c r="Q85" i="6"/>
  <c r="R12" i="6"/>
  <c r="S10" i="6"/>
  <c r="S31" i="6"/>
  <c r="S66" i="6" s="1"/>
  <c r="R44" i="6"/>
  <c r="BP44" i="6" s="1"/>
  <c r="R83" i="6"/>
  <c r="BP83" i="6" s="1"/>
  <c r="BP10" i="6"/>
  <c r="Q96" i="6"/>
  <c r="R23" i="6"/>
  <c r="Q57" i="6"/>
  <c r="R20" i="6"/>
  <c r="Q93" i="6"/>
  <c r="Q54" i="6"/>
  <c r="S30" i="6"/>
  <c r="R82" i="6"/>
  <c r="S9" i="6"/>
  <c r="R43" i="6"/>
  <c r="BP43" i="6" s="1"/>
  <c r="BP9" i="6"/>
  <c r="R21" i="6"/>
  <c r="Q94" i="6"/>
  <c r="Q55" i="6"/>
  <c r="R18" i="6"/>
  <c r="Q52" i="6"/>
  <c r="Q91" i="6"/>
  <c r="Q36" i="6"/>
  <c r="Q64" i="6" s="1"/>
  <c r="Q71" i="6" s="1"/>
  <c r="R26" i="6"/>
  <c r="R35" i="6"/>
  <c r="Q60" i="6"/>
  <c r="Q99" i="6"/>
  <c r="O73" i="6"/>
  <c r="O103" i="6"/>
  <c r="O77" i="6"/>
  <c r="P42" i="6"/>
  <c r="P61" i="6" s="1"/>
  <c r="O62" i="6"/>
  <c r="R17" i="6"/>
  <c r="Q51" i="6"/>
  <c r="Q90" i="6"/>
  <c r="R27" i="6" l="1"/>
  <c r="Q100" i="6"/>
  <c r="R81" i="6" s="1"/>
  <c r="S24" i="6"/>
  <c r="S33" i="6"/>
  <c r="S68" i="6" s="1"/>
  <c r="R97" i="6"/>
  <c r="BP97" i="6" s="1"/>
  <c r="R58" i="6"/>
  <c r="BP58" i="6" s="1"/>
  <c r="BP24" i="6"/>
  <c r="BP82" i="6"/>
  <c r="R93" i="6"/>
  <c r="BP93" i="6" s="1"/>
  <c r="S20" i="6"/>
  <c r="R54" i="6"/>
  <c r="BP54" i="6" s="1"/>
  <c r="BP20" i="6"/>
  <c r="O102" i="6"/>
  <c r="O129" i="6" s="1"/>
  <c r="O130" i="6" s="1"/>
  <c r="S65" i="6"/>
  <c r="R68" i="6"/>
  <c r="BP68" i="6" s="1"/>
  <c r="BP33" i="6"/>
  <c r="BP36" i="6" s="1"/>
  <c r="S17" i="6"/>
  <c r="R51" i="6"/>
  <c r="BP51" i="6" s="1"/>
  <c r="R90" i="6"/>
  <c r="BP90" i="6" s="1"/>
  <c r="BP17" i="6"/>
  <c r="S22" i="6"/>
  <c r="R95" i="6"/>
  <c r="BP95" i="6" s="1"/>
  <c r="R56" i="6"/>
  <c r="BP56" i="6" s="1"/>
  <c r="BP22" i="6"/>
  <c r="T67" i="6"/>
  <c r="R87" i="6"/>
  <c r="BP87" i="6" s="1"/>
  <c r="S14" i="6"/>
  <c r="R48" i="6"/>
  <c r="BP48" i="6" s="1"/>
  <c r="BP14" i="6"/>
  <c r="R49" i="6"/>
  <c r="BP49" i="6" s="1"/>
  <c r="S15" i="6"/>
  <c r="R88" i="6"/>
  <c r="BP88" i="6" s="1"/>
  <c r="BP15" i="6"/>
  <c r="R70" i="6"/>
  <c r="BP70" i="6" s="1"/>
  <c r="BP35" i="6"/>
  <c r="R36" i="6"/>
  <c r="R64" i="6" s="1"/>
  <c r="S82" i="6"/>
  <c r="T30" i="6"/>
  <c r="T9" i="6"/>
  <c r="S43" i="6"/>
  <c r="S12" i="6"/>
  <c r="R85" i="6"/>
  <c r="BP85" i="6" s="1"/>
  <c r="R46" i="6"/>
  <c r="BP46" i="6" s="1"/>
  <c r="BP12" i="6"/>
  <c r="S26" i="6"/>
  <c r="S35" i="6"/>
  <c r="S70" i="6" s="1"/>
  <c r="R60" i="6"/>
  <c r="BP60" i="6" s="1"/>
  <c r="R99" i="6"/>
  <c r="BP99" i="6" s="1"/>
  <c r="BP26" i="6"/>
  <c r="S34" i="6"/>
  <c r="S69" i="6" s="1"/>
  <c r="S25" i="6"/>
  <c r="R59" i="6"/>
  <c r="BP59" i="6" s="1"/>
  <c r="R98" i="6"/>
  <c r="BP98" i="6" s="1"/>
  <c r="BP25" i="6"/>
  <c r="R69" i="6"/>
  <c r="BP69" i="6" s="1"/>
  <c r="BP34" i="6"/>
  <c r="R91" i="6"/>
  <c r="BP91" i="6" s="1"/>
  <c r="S18" i="6"/>
  <c r="R52" i="6"/>
  <c r="BP52" i="6" s="1"/>
  <c r="BP18" i="6"/>
  <c r="S16" i="6"/>
  <c r="R50" i="6"/>
  <c r="BP50" i="6" s="1"/>
  <c r="R89" i="6"/>
  <c r="BP89" i="6" s="1"/>
  <c r="BP16" i="6"/>
  <c r="R86" i="6"/>
  <c r="BP86" i="6" s="1"/>
  <c r="S13" i="6"/>
  <c r="R47" i="6"/>
  <c r="BP47" i="6" s="1"/>
  <c r="BP13" i="6"/>
  <c r="S23" i="6"/>
  <c r="R96" i="6"/>
  <c r="BP96" i="6" s="1"/>
  <c r="R57" i="6"/>
  <c r="BP57" i="6" s="1"/>
  <c r="BP23" i="6"/>
  <c r="P73" i="6"/>
  <c r="P103" i="6"/>
  <c r="P77" i="6"/>
  <c r="Q42" i="6"/>
  <c r="Q61" i="6" s="1"/>
  <c r="P62" i="6"/>
  <c r="T31" i="6"/>
  <c r="T10" i="6"/>
  <c r="S44" i="6"/>
  <c r="S83" i="6"/>
  <c r="U11" i="6"/>
  <c r="U32" i="6"/>
  <c r="U67" i="6" s="1"/>
  <c r="T45" i="6"/>
  <c r="T84" i="6"/>
  <c r="R94" i="6"/>
  <c r="BP94" i="6" s="1"/>
  <c r="S21" i="6"/>
  <c r="R55" i="6"/>
  <c r="BP55" i="6" s="1"/>
  <c r="BP21" i="6"/>
  <c r="R92" i="6"/>
  <c r="BP92" i="6" s="1"/>
  <c r="S19" i="6"/>
  <c r="R53" i="6"/>
  <c r="BP53" i="6" s="1"/>
  <c r="BP19" i="6"/>
  <c r="BP71" i="6" l="1"/>
  <c r="BP27" i="6"/>
  <c r="B9" i="8" s="1"/>
  <c r="B18" i="8" s="1"/>
  <c r="BP61" i="6"/>
  <c r="B7" i="9"/>
  <c r="BP77" i="6"/>
  <c r="C5" i="7"/>
  <c r="BQ42" i="6"/>
  <c r="Q77" i="6"/>
  <c r="Q103" i="6"/>
  <c r="Q73" i="6"/>
  <c r="Q102" i="6" s="1"/>
  <c r="Q129" i="6" s="1"/>
  <c r="R42" i="6"/>
  <c r="R61" i="6" s="1"/>
  <c r="Q62" i="6"/>
  <c r="T17" i="6"/>
  <c r="S90" i="6"/>
  <c r="S51" i="6"/>
  <c r="P102" i="6"/>
  <c r="P129" i="6" s="1"/>
  <c r="P130" i="6" s="1"/>
  <c r="T23" i="6"/>
  <c r="S96" i="6"/>
  <c r="S57" i="6"/>
  <c r="S36" i="6"/>
  <c r="S64" i="6" s="1"/>
  <c r="S71" i="6" s="1"/>
  <c r="T65" i="6"/>
  <c r="T36" i="6"/>
  <c r="T64" i="6" s="1"/>
  <c r="R71" i="6"/>
  <c r="T20" i="6"/>
  <c r="S54" i="6"/>
  <c r="S93" i="6"/>
  <c r="BP100" i="6"/>
  <c r="S48" i="6"/>
  <c r="S87" i="6"/>
  <c r="T14" i="6"/>
  <c r="T21" i="6"/>
  <c r="S55" i="6"/>
  <c r="S94" i="6"/>
  <c r="T18" i="6"/>
  <c r="S91" i="6"/>
  <c r="S52" i="6"/>
  <c r="T22" i="6"/>
  <c r="S95" i="6"/>
  <c r="S56" i="6"/>
  <c r="S85" i="6"/>
  <c r="T12" i="6"/>
  <c r="S46" i="6"/>
  <c r="S27" i="6"/>
  <c r="S86" i="6"/>
  <c r="T13" i="6"/>
  <c r="S47" i="6"/>
  <c r="T19" i="6"/>
  <c r="S92" i="6"/>
  <c r="S53" i="6"/>
  <c r="S50" i="6"/>
  <c r="T16" i="6"/>
  <c r="S89" i="6"/>
  <c r="T15" i="6"/>
  <c r="S49" i="6"/>
  <c r="S88" i="6"/>
  <c r="R100" i="6"/>
  <c r="S81" i="6" s="1"/>
  <c r="V32" i="6"/>
  <c r="V67" i="6" s="1"/>
  <c r="V11" i="6"/>
  <c r="U84" i="6"/>
  <c r="U45" i="6"/>
  <c r="U31" i="6"/>
  <c r="U66" i="6" s="1"/>
  <c r="U10" i="6"/>
  <c r="T44" i="6"/>
  <c r="T83" i="6"/>
  <c r="T34" i="6"/>
  <c r="T25" i="6"/>
  <c r="S59" i="6"/>
  <c r="S98" i="6"/>
  <c r="T24" i="6"/>
  <c r="T33" i="6"/>
  <c r="S97" i="6"/>
  <c r="S58" i="6"/>
  <c r="T26" i="6"/>
  <c r="T35" i="6"/>
  <c r="S60" i="6"/>
  <c r="S99" i="6"/>
  <c r="T82" i="6"/>
  <c r="U30" i="6"/>
  <c r="U9" i="6"/>
  <c r="T43" i="6"/>
  <c r="T66" i="6"/>
  <c r="BP73" i="6" l="1"/>
  <c r="B21" i="8"/>
  <c r="B22" i="8" s="1"/>
  <c r="B23" i="8" s="1"/>
  <c r="B24" i="8" s="1"/>
  <c r="T27" i="6"/>
  <c r="S100" i="6"/>
  <c r="T81" i="6" s="1"/>
  <c r="T50" i="6"/>
  <c r="U16" i="6"/>
  <c r="T89" i="6"/>
  <c r="T68" i="6"/>
  <c r="U35" i="6"/>
  <c r="U70" i="6" s="1"/>
  <c r="U26" i="6"/>
  <c r="T60" i="6"/>
  <c r="T99" i="6"/>
  <c r="T92" i="6"/>
  <c r="T53" i="6"/>
  <c r="U19" i="6"/>
  <c r="U24" i="6"/>
  <c r="U33" i="6"/>
  <c r="U68" i="6" s="1"/>
  <c r="T97" i="6"/>
  <c r="T58" i="6"/>
  <c r="U17" i="6"/>
  <c r="T90" i="6"/>
  <c r="T51" i="6"/>
  <c r="R77" i="6"/>
  <c r="R103" i="6"/>
  <c r="S42" i="6"/>
  <c r="S61" i="6" s="1"/>
  <c r="R62" i="6"/>
  <c r="R73" i="6"/>
  <c r="U12" i="6"/>
  <c r="T46" i="6"/>
  <c r="T85" i="6"/>
  <c r="U22" i="6"/>
  <c r="T56" i="6"/>
  <c r="T95" i="6"/>
  <c r="V10" i="6"/>
  <c r="V31" i="6"/>
  <c r="V66" i="6" s="1"/>
  <c r="U44" i="6"/>
  <c r="U83" i="6"/>
  <c r="T70" i="6"/>
  <c r="Q130" i="6"/>
  <c r="W11" i="6"/>
  <c r="W32" i="6"/>
  <c r="V84" i="6"/>
  <c r="V45" i="6"/>
  <c r="C18" i="7"/>
  <c r="C6" i="7"/>
  <c r="U20" i="6"/>
  <c r="T93" i="6"/>
  <c r="T54" i="6"/>
  <c r="U21" i="6"/>
  <c r="T55" i="6"/>
  <c r="T94" i="6"/>
  <c r="V30" i="6"/>
  <c r="V9" i="6"/>
  <c r="U82" i="6"/>
  <c r="U43" i="6"/>
  <c r="B10" i="8"/>
  <c r="B25" i="8" s="1"/>
  <c r="C8" i="7"/>
  <c r="B8" i="9" s="1"/>
  <c r="B9" i="9" s="1"/>
  <c r="B10" i="9" s="1"/>
  <c r="BQ81" i="6"/>
  <c r="BP103" i="6"/>
  <c r="BP102" i="6"/>
  <c r="BP129" i="6" s="1"/>
  <c r="T86" i="6"/>
  <c r="U13" i="6"/>
  <c r="T47" i="6"/>
  <c r="T96" i="6"/>
  <c r="U23" i="6"/>
  <c r="T57" i="6"/>
  <c r="U34" i="6"/>
  <c r="U69" i="6" s="1"/>
  <c r="U25" i="6"/>
  <c r="T59" i="6"/>
  <c r="T98" i="6"/>
  <c r="T69" i="6"/>
  <c r="U18" i="6"/>
  <c r="T52" i="6"/>
  <c r="T91" i="6"/>
  <c r="T87" i="6"/>
  <c r="U14" i="6"/>
  <c r="T48" i="6"/>
  <c r="U65" i="6"/>
  <c r="T49" i="6"/>
  <c r="U15" i="6"/>
  <c r="T88" i="6"/>
  <c r="D29" i="10" l="1"/>
  <c r="U27" i="6"/>
  <c r="B29" i="10"/>
  <c r="V17" i="6"/>
  <c r="U90" i="6"/>
  <c r="U51" i="6"/>
  <c r="S103" i="6"/>
  <c r="T42" i="6"/>
  <c r="T61" i="6" s="1"/>
  <c r="S77" i="6"/>
  <c r="S73" i="6"/>
  <c r="S102" i="6" s="1"/>
  <c r="S129" i="6" s="1"/>
  <c r="S62" i="6"/>
  <c r="W9" i="6"/>
  <c r="W30" i="6"/>
  <c r="V82" i="6"/>
  <c r="V43" i="6"/>
  <c r="V24" i="6"/>
  <c r="V33" i="6"/>
  <c r="V68" i="6" s="1"/>
  <c r="U97" i="6"/>
  <c r="U58" i="6"/>
  <c r="V65" i="6"/>
  <c r="V44" i="6"/>
  <c r="W10" i="6"/>
  <c r="W31" i="6"/>
  <c r="V83" i="6"/>
  <c r="W67" i="6"/>
  <c r="T100" i="6"/>
  <c r="U81" i="6" s="1"/>
  <c r="V21" i="6"/>
  <c r="U94" i="6"/>
  <c r="U55" i="6"/>
  <c r="V34" i="6"/>
  <c r="V25" i="6"/>
  <c r="U98" i="6"/>
  <c r="U59" i="6"/>
  <c r="V26" i="6"/>
  <c r="V35" i="6"/>
  <c r="U99" i="6"/>
  <c r="U60" i="6"/>
  <c r="U96" i="6"/>
  <c r="V23" i="6"/>
  <c r="U57" i="6"/>
  <c r="U93" i="6"/>
  <c r="V20" i="6"/>
  <c r="U54" i="6"/>
  <c r="U49" i="6"/>
  <c r="U88" i="6"/>
  <c r="V15" i="6"/>
  <c r="C7" i="7"/>
  <c r="C11" i="7" s="1"/>
  <c r="U50" i="6"/>
  <c r="U89" i="6"/>
  <c r="V16" i="6"/>
  <c r="X32" i="6"/>
  <c r="X67" i="6" s="1"/>
  <c r="X11" i="6"/>
  <c r="W84" i="6"/>
  <c r="W45" i="6"/>
  <c r="V18" i="6"/>
  <c r="U91" i="6"/>
  <c r="U52" i="6"/>
  <c r="T71" i="6"/>
  <c r="U86" i="6"/>
  <c r="V13" i="6"/>
  <c r="U47" i="6"/>
  <c r="R102" i="6"/>
  <c r="R129" i="6" s="1"/>
  <c r="R130" i="6" s="1"/>
  <c r="U87" i="6"/>
  <c r="V14" i="6"/>
  <c r="U48" i="6"/>
  <c r="U53" i="6"/>
  <c r="U92" i="6"/>
  <c r="V19" i="6"/>
  <c r="B33" i="8"/>
  <c r="B35" i="8" s="1"/>
  <c r="B29" i="8"/>
  <c r="B32" i="8" s="1"/>
  <c r="B34" i="8" s="1"/>
  <c r="V22" i="6"/>
  <c r="U56" i="6"/>
  <c r="U95" i="6"/>
  <c r="V12" i="6"/>
  <c r="U46" i="6"/>
  <c r="U85" i="6"/>
  <c r="U36" i="6"/>
  <c r="U64" i="6" s="1"/>
  <c r="U71" i="6" s="1"/>
  <c r="C29" i="10"/>
  <c r="U100" i="6" l="1"/>
  <c r="V81" i="6" s="1"/>
  <c r="V27" i="6"/>
  <c r="W65" i="6"/>
  <c r="T103" i="6"/>
  <c r="U42" i="6"/>
  <c r="U61" i="6" s="1"/>
  <c r="T73" i="6"/>
  <c r="T62" i="6"/>
  <c r="T77" i="6"/>
  <c r="S130" i="6"/>
  <c r="W26" i="6"/>
  <c r="W35" i="6"/>
  <c r="W70" i="6" s="1"/>
  <c r="V99" i="6"/>
  <c r="V60" i="6"/>
  <c r="V93" i="6"/>
  <c r="W20" i="6"/>
  <c r="V54" i="6"/>
  <c r="W44" i="6"/>
  <c r="X10" i="6"/>
  <c r="W83" i="6"/>
  <c r="X31" i="6"/>
  <c r="X66" i="6" s="1"/>
  <c r="W13" i="6"/>
  <c r="V47" i="6"/>
  <c r="V86" i="6"/>
  <c r="W34" i="6"/>
  <c r="W69" i="6" s="1"/>
  <c r="W25" i="6"/>
  <c r="V59" i="6"/>
  <c r="V98" i="6"/>
  <c r="X30" i="6"/>
  <c r="W43" i="6"/>
  <c r="X9" i="6"/>
  <c r="W82" i="6"/>
  <c r="W66" i="6"/>
  <c r="W12" i="6"/>
  <c r="V46" i="6"/>
  <c r="V85" i="6"/>
  <c r="W22" i="6"/>
  <c r="V56" i="6"/>
  <c r="V95" i="6"/>
  <c r="V69" i="6"/>
  <c r="V53" i="6"/>
  <c r="V92" i="6"/>
  <c r="W19" i="6"/>
  <c r="C12" i="7"/>
  <c r="C19" i="7" s="1"/>
  <c r="C21" i="7" s="1"/>
  <c r="B13" i="9" s="1"/>
  <c r="B15" i="9" s="1"/>
  <c r="V70" i="6"/>
  <c r="W16" i="6"/>
  <c r="V50" i="6"/>
  <c r="V89" i="6"/>
  <c r="W24" i="6"/>
  <c r="V97" i="6"/>
  <c r="W33" i="6"/>
  <c r="V58" i="6"/>
  <c r="V96" i="6"/>
  <c r="W23" i="6"/>
  <c r="V57" i="6"/>
  <c r="W17" i="6"/>
  <c r="V51" i="6"/>
  <c r="V90" i="6"/>
  <c r="V91" i="6"/>
  <c r="W18" i="6"/>
  <c r="V52" i="6"/>
  <c r="V36" i="6"/>
  <c r="V64" i="6" s="1"/>
  <c r="Y11" i="6"/>
  <c r="Y32" i="6"/>
  <c r="Y67" i="6" s="1"/>
  <c r="X45" i="6"/>
  <c r="X84" i="6"/>
  <c r="W21" i="6"/>
  <c r="V55" i="6"/>
  <c r="V94" i="6"/>
  <c r="V87" i="6"/>
  <c r="V48" i="6"/>
  <c r="W14" i="6"/>
  <c r="V49" i="6"/>
  <c r="W15" i="6"/>
  <c r="V88" i="6"/>
  <c r="W27" i="6" l="1"/>
  <c r="W49" i="6"/>
  <c r="X15" i="6"/>
  <c r="W88" i="6"/>
  <c r="Y30" i="6"/>
  <c r="Y9" i="6"/>
  <c r="X82" i="6"/>
  <c r="X43" i="6"/>
  <c r="U73" i="6"/>
  <c r="U62" i="6"/>
  <c r="V42" i="6"/>
  <c r="V61" i="6" s="1"/>
  <c r="U103" i="6"/>
  <c r="U77" i="6"/>
  <c r="C13" i="7"/>
  <c r="C29" i="7" s="1"/>
  <c r="Z11" i="6"/>
  <c r="Y45" i="6"/>
  <c r="Z32" i="6"/>
  <c r="Y84" i="6"/>
  <c r="X65" i="6"/>
  <c r="X16" i="6"/>
  <c r="W89" i="6"/>
  <c r="W50" i="6"/>
  <c r="X13" i="6"/>
  <c r="W47" i="6"/>
  <c r="W86" i="6"/>
  <c r="W68" i="6"/>
  <c r="V100" i="6"/>
  <c r="W81" i="6" s="1"/>
  <c r="W53" i="6"/>
  <c r="W92" i="6"/>
  <c r="X19" i="6"/>
  <c r="V71" i="6"/>
  <c r="T102" i="6"/>
  <c r="T129" i="6" s="1"/>
  <c r="T130" i="6" s="1"/>
  <c r="W36" i="6"/>
  <c r="W64" i="6" s="1"/>
  <c r="X23" i="6"/>
  <c r="W57" i="6"/>
  <c r="W96" i="6"/>
  <c r="X26" i="6"/>
  <c r="X35" i="6"/>
  <c r="W99" i="6"/>
  <c r="W60" i="6"/>
  <c r="W87" i="6"/>
  <c r="W48" i="6"/>
  <c r="X14" i="6"/>
  <c r="X34" i="6"/>
  <c r="X69" i="6" s="1"/>
  <c r="W98" i="6"/>
  <c r="X25" i="6"/>
  <c r="W59" i="6"/>
  <c r="Y10" i="6"/>
  <c r="Y31" i="6"/>
  <c r="X83" i="6"/>
  <c r="X44" i="6"/>
  <c r="X22" i="6"/>
  <c r="W95" i="6"/>
  <c r="W56" i="6"/>
  <c r="X24" i="6"/>
  <c r="X33" i="6"/>
  <c r="X68" i="6" s="1"/>
  <c r="W58" i="6"/>
  <c r="W97" i="6"/>
  <c r="X21" i="6"/>
  <c r="W55" i="6"/>
  <c r="W94" i="6"/>
  <c r="X18" i="6"/>
  <c r="W52" i="6"/>
  <c r="W91" i="6"/>
  <c r="X17" i="6"/>
  <c r="W90" i="6"/>
  <c r="W51" i="6"/>
  <c r="W93" i="6"/>
  <c r="W54" i="6"/>
  <c r="X20" i="6"/>
  <c r="X12" i="6"/>
  <c r="W85" i="6"/>
  <c r="W46" i="6"/>
  <c r="W100" i="6" l="1"/>
  <c r="X81" i="6" s="1"/>
  <c r="AA11" i="6"/>
  <c r="Z45" i="6"/>
  <c r="AA32" i="6"/>
  <c r="AA67" i="6" s="1"/>
  <c r="Z84" i="6"/>
  <c r="V73" i="6"/>
  <c r="V103" i="6"/>
  <c r="V62" i="6"/>
  <c r="V77" i="6"/>
  <c r="W42" i="6"/>
  <c r="W61" i="6" s="1"/>
  <c r="Y24" i="6"/>
  <c r="Y33" i="6"/>
  <c r="X58" i="6"/>
  <c r="X97" i="6"/>
  <c r="Y21" i="6"/>
  <c r="X94" i="6"/>
  <c r="X55" i="6"/>
  <c r="X70" i="6"/>
  <c r="Y17" i="6"/>
  <c r="X51" i="6"/>
  <c r="X90" i="6"/>
  <c r="X92" i="6"/>
  <c r="X53" i="6"/>
  <c r="Y19" i="6"/>
  <c r="X49" i="6"/>
  <c r="Y15" i="6"/>
  <c r="X88" i="6"/>
  <c r="X87" i="6"/>
  <c r="X48" i="6"/>
  <c r="Y14" i="6"/>
  <c r="Y16" i="6"/>
  <c r="X89" i="6"/>
  <c r="X50" i="6"/>
  <c r="Z10" i="6"/>
  <c r="Y83" i="6"/>
  <c r="Z31" i="6"/>
  <c r="Z66" i="6" s="1"/>
  <c r="Y44" i="6"/>
  <c r="Y34" i="6"/>
  <c r="Y69" i="6" s="1"/>
  <c r="Y25" i="6"/>
  <c r="X98" i="6"/>
  <c r="X59" i="6"/>
  <c r="Y18" i="6"/>
  <c r="X91" i="6"/>
  <c r="X52" i="6"/>
  <c r="U102" i="6"/>
  <c r="U129" i="6" s="1"/>
  <c r="U130" i="6" s="1"/>
  <c r="Y82" i="6"/>
  <c r="Z30" i="6"/>
  <c r="Z9" i="6"/>
  <c r="Y43" i="6"/>
  <c r="Y65" i="6"/>
  <c r="Y35" i="6"/>
  <c r="Y70" i="6" s="1"/>
  <c r="Y26" i="6"/>
  <c r="X60" i="6"/>
  <c r="X99" i="6"/>
  <c r="X47" i="6"/>
  <c r="Y13" i="6"/>
  <c r="X86" i="6"/>
  <c r="X85" i="6"/>
  <c r="Y12" i="6"/>
  <c r="X46" i="6"/>
  <c r="X57" i="6"/>
  <c r="Y23" i="6"/>
  <c r="X96" i="6"/>
  <c r="X93" i="6"/>
  <c r="Y20" i="6"/>
  <c r="X54" i="6"/>
  <c r="Y66" i="6"/>
  <c r="Z67" i="6"/>
  <c r="X27" i="6"/>
  <c r="X95" i="6"/>
  <c r="Y22" i="6"/>
  <c r="X56" i="6"/>
  <c r="W71" i="6"/>
  <c r="X36" i="6"/>
  <c r="X64" i="6" s="1"/>
  <c r="X71" i="6" s="1"/>
  <c r="Y27" i="6" l="1"/>
  <c r="X100" i="6"/>
  <c r="Y81" i="6" s="1"/>
  <c r="Z23" i="6"/>
  <c r="Y57" i="6"/>
  <c r="Y96" i="6"/>
  <c r="Z83" i="6"/>
  <c r="AA10" i="6"/>
  <c r="AA31" i="6"/>
  <c r="AA66" i="6" s="1"/>
  <c r="Z44" i="6"/>
  <c r="Z16" i="6"/>
  <c r="Y89" i="6"/>
  <c r="Y50" i="6"/>
  <c r="Y68" i="6"/>
  <c r="Y87" i="6"/>
  <c r="Y48" i="6"/>
  <c r="Z14" i="6"/>
  <c r="AB11" i="6"/>
  <c r="AB32" i="6"/>
  <c r="AB67" i="6" s="1"/>
  <c r="AA45" i="6"/>
  <c r="AA84" i="6"/>
  <c r="Y92" i="6"/>
  <c r="Y53" i="6"/>
  <c r="Z19" i="6"/>
  <c r="V102" i="6"/>
  <c r="V129" i="6" s="1"/>
  <c r="V130" i="6" s="1"/>
  <c r="Y93" i="6"/>
  <c r="Z20" i="6"/>
  <c r="Y54" i="6"/>
  <c r="Z17" i="6"/>
  <c r="Y51" i="6"/>
  <c r="Y90" i="6"/>
  <c r="Z25" i="6"/>
  <c r="Z34" i="6"/>
  <c r="Z69" i="6" s="1"/>
  <c r="Y98" i="6"/>
  <c r="Y59" i="6"/>
  <c r="Z12" i="6"/>
  <c r="Y46" i="6"/>
  <c r="Y85" i="6"/>
  <c r="Z24" i="6"/>
  <c r="Z33" i="6"/>
  <c r="Z68" i="6" s="1"/>
  <c r="Y58" i="6"/>
  <c r="Y97" i="6"/>
  <c r="Y86" i="6"/>
  <c r="Z13" i="6"/>
  <c r="Y47" i="6"/>
  <c r="Y36" i="6"/>
  <c r="Y64" i="6" s="1"/>
  <c r="Y71" i="6" s="1"/>
  <c r="Z18" i="6"/>
  <c r="Y52" i="6"/>
  <c r="Y91" i="6"/>
  <c r="Z21" i="6"/>
  <c r="Y94" i="6"/>
  <c r="Y55" i="6"/>
  <c r="W73" i="6"/>
  <c r="W103" i="6"/>
  <c r="W77" i="6"/>
  <c r="W62" i="6"/>
  <c r="X42" i="6"/>
  <c r="X61" i="6" s="1"/>
  <c r="Z22" i="6"/>
  <c r="Y95" i="6"/>
  <c r="Y56" i="6"/>
  <c r="Z35" i="6"/>
  <c r="Z70" i="6" s="1"/>
  <c r="Z26" i="6"/>
  <c r="Y60" i="6"/>
  <c r="Y99" i="6"/>
  <c r="Y49" i="6"/>
  <c r="Z15" i="6"/>
  <c r="Y88" i="6"/>
  <c r="AA30" i="6"/>
  <c r="AA9" i="6"/>
  <c r="Z82" i="6"/>
  <c r="Z43" i="6"/>
  <c r="Z65" i="6"/>
  <c r="Y100" i="6" l="1"/>
  <c r="Z81" i="6" s="1"/>
  <c r="Z86" i="6"/>
  <c r="AA13" i="6"/>
  <c r="Z47" i="6"/>
  <c r="AA35" i="6"/>
  <c r="AA70" i="6" s="1"/>
  <c r="AA26" i="6"/>
  <c r="Z99" i="6"/>
  <c r="Z60" i="6"/>
  <c r="AC11" i="6"/>
  <c r="AC32" i="6"/>
  <c r="AC67" i="6" s="1"/>
  <c r="AB84" i="6"/>
  <c r="AB45" i="6"/>
  <c r="Z48" i="6"/>
  <c r="AA14" i="6"/>
  <c r="Z87" i="6"/>
  <c r="X73" i="6"/>
  <c r="X103" i="6"/>
  <c r="X77" i="6"/>
  <c r="Y42" i="6"/>
  <c r="Y61" i="6" s="1"/>
  <c r="X62" i="6"/>
  <c r="AA25" i="6"/>
  <c r="AA34" i="6"/>
  <c r="AA69" i="6" s="1"/>
  <c r="Z98" i="6"/>
  <c r="Z59" i="6"/>
  <c r="AA36" i="6"/>
  <c r="AA64" i="6" s="1"/>
  <c r="AA65" i="6"/>
  <c r="AA15" i="6"/>
  <c r="Z49" i="6"/>
  <c r="Z88" i="6"/>
  <c r="AA24" i="6"/>
  <c r="AA33" i="6"/>
  <c r="AA68" i="6" s="1"/>
  <c r="Z58" i="6"/>
  <c r="Z97" i="6"/>
  <c r="AA12" i="6"/>
  <c r="Z46" i="6"/>
  <c r="Z85" i="6"/>
  <c r="W102" i="6"/>
  <c r="W129" i="6" s="1"/>
  <c r="W130" i="6" s="1"/>
  <c r="AA17" i="6"/>
  <c r="Z51" i="6"/>
  <c r="Z90" i="6"/>
  <c r="AA18" i="6"/>
  <c r="Z91" i="6"/>
  <c r="Z52" i="6"/>
  <c r="Z53" i="6"/>
  <c r="Z92" i="6"/>
  <c r="AA19" i="6"/>
  <c r="AA22" i="6"/>
  <c r="Z95" i="6"/>
  <c r="Z56" i="6"/>
  <c r="Z93" i="6"/>
  <c r="AA20" i="6"/>
  <c r="Z54" i="6"/>
  <c r="Z36" i="6"/>
  <c r="Z64" i="6" s="1"/>
  <c r="Z71" i="6" s="1"/>
  <c r="AB30" i="6"/>
  <c r="AB9" i="6"/>
  <c r="AA43" i="6"/>
  <c r="AA82" i="6"/>
  <c r="AA23" i="6"/>
  <c r="Z96" i="6"/>
  <c r="Z57" i="6"/>
  <c r="Z89" i="6"/>
  <c r="AA16" i="6"/>
  <c r="Z50" i="6"/>
  <c r="AA21" i="6"/>
  <c r="Z94" i="6"/>
  <c r="Z55" i="6"/>
  <c r="AB10" i="6"/>
  <c r="AB31" i="6"/>
  <c r="AB66" i="6" s="1"/>
  <c r="AA83" i="6"/>
  <c r="AA44" i="6"/>
  <c r="Z27" i="6"/>
  <c r="Z100" i="6" l="1"/>
  <c r="AA81" i="6" s="1"/>
  <c r="AA71" i="6"/>
  <c r="AB18" i="6"/>
  <c r="AA52" i="6"/>
  <c r="AA91" i="6"/>
  <c r="AA94" i="6"/>
  <c r="AB21" i="6"/>
  <c r="AA55" i="6"/>
  <c r="AD32" i="6"/>
  <c r="AD11" i="6"/>
  <c r="AC45" i="6"/>
  <c r="AC84" i="6"/>
  <c r="AC31" i="6"/>
  <c r="AC66" i="6" s="1"/>
  <c r="AB83" i="6"/>
  <c r="AC10" i="6"/>
  <c r="AB44" i="6"/>
  <c r="AA48" i="6"/>
  <c r="AA87" i="6"/>
  <c r="AB14" i="6"/>
  <c r="AC30" i="6"/>
  <c r="AC9" i="6"/>
  <c r="AB43" i="6"/>
  <c r="AB82" i="6"/>
  <c r="AA53" i="6"/>
  <c r="AB19" i="6"/>
  <c r="AB27" i="6" s="1"/>
  <c r="AA92" i="6"/>
  <c r="Y103" i="6"/>
  <c r="Y73" i="6"/>
  <c r="Y77" i="6"/>
  <c r="Y62" i="6"/>
  <c r="Z42" i="6"/>
  <c r="Z61" i="6" s="1"/>
  <c r="X102" i="6"/>
  <c r="X129" i="6" s="1"/>
  <c r="X130" i="6" s="1"/>
  <c r="AA89" i="6"/>
  <c r="AB16" i="6"/>
  <c r="AA50" i="6"/>
  <c r="AB17" i="6"/>
  <c r="AA90" i="6"/>
  <c r="AA51" i="6"/>
  <c r="AA96" i="6"/>
  <c r="AB23" i="6"/>
  <c r="AA57" i="6"/>
  <c r="AB12" i="6"/>
  <c r="AA46" i="6"/>
  <c r="AA85" i="6"/>
  <c r="AB35" i="6"/>
  <c r="AB70" i="6" s="1"/>
  <c r="AB26" i="6"/>
  <c r="AA99" i="6"/>
  <c r="AA60" i="6"/>
  <c r="AB22" i="6"/>
  <c r="AA56" i="6"/>
  <c r="AA95" i="6"/>
  <c r="AB25" i="6"/>
  <c r="AB34" i="6"/>
  <c r="AB69" i="6" s="1"/>
  <c r="AA98" i="6"/>
  <c r="AA59" i="6"/>
  <c r="AA27" i="6"/>
  <c r="AB65" i="6"/>
  <c r="AA93" i="6"/>
  <c r="AB20" i="6"/>
  <c r="AA54" i="6"/>
  <c r="AB15" i="6"/>
  <c r="AA49" i="6"/>
  <c r="AA88" i="6"/>
  <c r="AA86" i="6"/>
  <c r="AB13" i="6"/>
  <c r="AA47" i="6"/>
  <c r="AB33" i="6"/>
  <c r="AB68" i="6" s="1"/>
  <c r="AB24" i="6"/>
  <c r="AA58" i="6"/>
  <c r="AA97" i="6"/>
  <c r="AA100" i="6" l="1"/>
  <c r="AB81" i="6" s="1"/>
  <c r="AC12" i="6"/>
  <c r="AB46" i="6"/>
  <c r="AB85" i="6"/>
  <c r="AC35" i="6"/>
  <c r="AC70" i="6" s="1"/>
  <c r="AC26" i="6"/>
  <c r="AB60" i="6"/>
  <c r="AB99" i="6"/>
  <c r="AC82" i="6"/>
  <c r="AC43" i="6"/>
  <c r="AD9" i="6"/>
  <c r="AD30" i="6"/>
  <c r="AC33" i="6"/>
  <c r="AC68" i="6" s="1"/>
  <c r="AC24" i="6"/>
  <c r="AB97" i="6"/>
  <c r="AB58" i="6"/>
  <c r="AB87" i="6"/>
  <c r="AC14" i="6"/>
  <c r="AB48" i="6"/>
  <c r="AC17" i="6"/>
  <c r="AB90" i="6"/>
  <c r="AB51" i="6"/>
  <c r="AB100" i="6"/>
  <c r="AC81" i="6" s="1"/>
  <c r="AC65" i="6"/>
  <c r="AC36" i="6"/>
  <c r="AC64" i="6" s="1"/>
  <c r="AC71" i="6" s="1"/>
  <c r="AC15" i="6"/>
  <c r="AB49" i="6"/>
  <c r="AB88" i="6"/>
  <c r="AC20" i="6"/>
  <c r="AB93" i="6"/>
  <c r="AB54" i="6"/>
  <c r="AD67" i="6"/>
  <c r="BQ67" i="6" s="1"/>
  <c r="BQ32" i="6"/>
  <c r="AB94" i="6"/>
  <c r="AC21" i="6"/>
  <c r="AB55" i="6"/>
  <c r="Y102" i="6"/>
  <c r="Y129" i="6" s="1"/>
  <c r="Y130" i="6" s="1"/>
  <c r="AC22" i="6"/>
  <c r="AB56" i="6"/>
  <c r="AB95" i="6"/>
  <c r="AB86" i="6"/>
  <c r="AC13" i="6"/>
  <c r="AB47" i="6"/>
  <c r="AC16" i="6"/>
  <c r="AB89" i="6"/>
  <c r="AB50" i="6"/>
  <c r="AE32" i="6"/>
  <c r="AE11" i="6"/>
  <c r="AD45" i="6"/>
  <c r="BQ45" i="6" s="1"/>
  <c r="AD84" i="6"/>
  <c r="BQ84" i="6" s="1"/>
  <c r="BQ11" i="6"/>
  <c r="Z73" i="6"/>
  <c r="AA42" i="6"/>
  <c r="AA61" i="6" s="1"/>
  <c r="Z103" i="6"/>
  <c r="Z77" i="6"/>
  <c r="Z62" i="6"/>
  <c r="AC19" i="6"/>
  <c r="AB53" i="6"/>
  <c r="AB92" i="6"/>
  <c r="AC23" i="6"/>
  <c r="AB96" i="6"/>
  <c r="AB57" i="6"/>
  <c r="AC44" i="6"/>
  <c r="AD10" i="6"/>
  <c r="AD31" i="6"/>
  <c r="AC83" i="6"/>
  <c r="AB36" i="6"/>
  <c r="AB64" i="6" s="1"/>
  <c r="AB71" i="6" s="1"/>
  <c r="AC34" i="6"/>
  <c r="AC69" i="6" s="1"/>
  <c r="AC25" i="6"/>
  <c r="AB98" i="6"/>
  <c r="AB59" i="6"/>
  <c r="AC18" i="6"/>
  <c r="AB52" i="6"/>
  <c r="AB91" i="6"/>
  <c r="Z102" i="6" l="1"/>
  <c r="Z129" i="6" s="1"/>
  <c r="Z130" i="6" s="1"/>
  <c r="AC49" i="6"/>
  <c r="AD15" i="6"/>
  <c r="AC88" i="6"/>
  <c r="AD17" i="6"/>
  <c r="AC51" i="6"/>
  <c r="AC90" i="6"/>
  <c r="AD34" i="6"/>
  <c r="AD25" i="6"/>
  <c r="AC98" i="6"/>
  <c r="AC59" i="6"/>
  <c r="AE67" i="6"/>
  <c r="AC87" i="6"/>
  <c r="AD14" i="6"/>
  <c r="AC48" i="6"/>
  <c r="AD66" i="6"/>
  <c r="BQ66" i="6" s="1"/>
  <c r="BQ31" i="6"/>
  <c r="AD44" i="6"/>
  <c r="BQ44" i="6" s="1"/>
  <c r="AE31" i="6"/>
  <c r="AE10" i="6"/>
  <c r="AD83" i="6"/>
  <c r="BQ83" i="6" s="1"/>
  <c r="BQ10" i="6"/>
  <c r="AD18" i="6"/>
  <c r="AC52" i="6"/>
  <c r="AC91" i="6"/>
  <c r="AC100" i="6" s="1"/>
  <c r="AD81" i="6" s="1"/>
  <c r="AD33" i="6"/>
  <c r="AD24" i="6"/>
  <c r="AC97" i="6"/>
  <c r="AC58" i="6"/>
  <c r="AD65" i="6"/>
  <c r="BQ65" i="6" s="1"/>
  <c r="BQ30" i="6"/>
  <c r="AD16" i="6"/>
  <c r="AC89" i="6"/>
  <c r="AC50" i="6"/>
  <c r="AD82" i="6"/>
  <c r="AE9" i="6"/>
  <c r="AD43" i="6"/>
  <c r="BQ43" i="6" s="1"/>
  <c r="AE30" i="6"/>
  <c r="BQ9" i="6"/>
  <c r="AC94" i="6"/>
  <c r="AD21" i="6"/>
  <c r="AC55" i="6"/>
  <c r="AD23" i="6"/>
  <c r="AC96" i="6"/>
  <c r="AC57" i="6"/>
  <c r="AD35" i="6"/>
  <c r="AD26" i="6"/>
  <c r="AC60" i="6"/>
  <c r="AC99" i="6"/>
  <c r="AC93" i="6"/>
  <c r="AD20" i="6"/>
  <c r="AC54" i="6"/>
  <c r="AF11" i="6"/>
  <c r="AF32" i="6"/>
  <c r="AF67" i="6" s="1"/>
  <c r="AE84" i="6"/>
  <c r="AE45" i="6"/>
  <c r="AC86" i="6"/>
  <c r="AD13" i="6"/>
  <c r="AC47" i="6"/>
  <c r="AD22" i="6"/>
  <c r="AC95" i="6"/>
  <c r="AC56" i="6"/>
  <c r="AC27" i="6"/>
  <c r="AC53" i="6"/>
  <c r="AC92" i="6"/>
  <c r="AD19" i="6"/>
  <c r="AA73" i="6"/>
  <c r="AB42" i="6"/>
  <c r="AB61" i="6" s="1"/>
  <c r="AA103" i="6"/>
  <c r="AA77" i="6"/>
  <c r="AA62" i="6"/>
  <c r="AC46" i="6"/>
  <c r="AD12" i="6"/>
  <c r="AC85" i="6"/>
  <c r="AD27" i="6" l="1"/>
  <c r="AD68" i="6"/>
  <c r="BQ68" i="6" s="1"/>
  <c r="BQ33" i="6"/>
  <c r="AE44" i="6"/>
  <c r="AF31" i="6"/>
  <c r="AF66" i="6" s="1"/>
  <c r="AE83" i="6"/>
  <c r="AF10" i="6"/>
  <c r="AD93" i="6"/>
  <c r="BQ93" i="6" s="1"/>
  <c r="AE20" i="6"/>
  <c r="AD54" i="6"/>
  <c r="BQ54" i="6" s="1"/>
  <c r="BQ20" i="6"/>
  <c r="AE26" i="6"/>
  <c r="AE35" i="6"/>
  <c r="AD99" i="6"/>
  <c r="BQ99" i="6" s="1"/>
  <c r="AD60" i="6"/>
  <c r="BQ60" i="6" s="1"/>
  <c r="BQ26" i="6"/>
  <c r="AD94" i="6"/>
  <c r="BQ94" i="6" s="1"/>
  <c r="AE21" i="6"/>
  <c r="AD55" i="6"/>
  <c r="BQ55" i="6" s="1"/>
  <c r="BQ21" i="6"/>
  <c r="AA102" i="6"/>
  <c r="AA129" i="6" s="1"/>
  <c r="AA130" i="6" s="1"/>
  <c r="AD53" i="6"/>
  <c r="BQ53" i="6" s="1"/>
  <c r="AE19" i="6"/>
  <c r="AD92" i="6"/>
  <c r="BQ92" i="6" s="1"/>
  <c r="BQ19" i="6"/>
  <c r="AE16" i="6"/>
  <c r="AD89" i="6"/>
  <c r="BQ89" i="6" s="1"/>
  <c r="AD50" i="6"/>
  <c r="BQ50" i="6" s="1"/>
  <c r="BQ16" i="6"/>
  <c r="AE17" i="6"/>
  <c r="AD90" i="6"/>
  <c r="BQ90" i="6" s="1"/>
  <c r="AD51" i="6"/>
  <c r="BQ51" i="6" s="1"/>
  <c r="BQ17" i="6"/>
  <c r="AD70" i="6"/>
  <c r="BQ70" i="6" s="1"/>
  <c r="BQ35" i="6"/>
  <c r="AE66" i="6"/>
  <c r="AE14" i="6"/>
  <c r="AD87" i="6"/>
  <c r="BQ87" i="6" s="1"/>
  <c r="AD48" i="6"/>
  <c r="BQ48" i="6" s="1"/>
  <c r="BQ14" i="6"/>
  <c r="AD36" i="6"/>
  <c r="AD64" i="6" s="1"/>
  <c r="AD71" i="6" s="1"/>
  <c r="AE24" i="6"/>
  <c r="AE33" i="6"/>
  <c r="AD58" i="6"/>
  <c r="BQ58" i="6" s="1"/>
  <c r="AD97" i="6"/>
  <c r="BQ97" i="6" s="1"/>
  <c r="BQ24" i="6"/>
  <c r="AE23" i="6"/>
  <c r="AD96" i="6"/>
  <c r="BQ96" i="6" s="1"/>
  <c r="AD57" i="6"/>
  <c r="BQ57" i="6" s="1"/>
  <c r="BQ23" i="6"/>
  <c r="AB103" i="6"/>
  <c r="AB77" i="6"/>
  <c r="AB62" i="6"/>
  <c r="AB73" i="6"/>
  <c r="AB102" i="6" s="1"/>
  <c r="AB129" i="6" s="1"/>
  <c r="AC42" i="6"/>
  <c r="AC61" i="6" s="1"/>
  <c r="AE22" i="6"/>
  <c r="AD56" i="6"/>
  <c r="BQ56" i="6" s="1"/>
  <c r="AD95" i="6"/>
  <c r="BQ95" i="6" s="1"/>
  <c r="BQ22" i="6"/>
  <c r="AD69" i="6"/>
  <c r="BQ69" i="6" s="1"/>
  <c r="BQ34" i="6"/>
  <c r="AD49" i="6"/>
  <c r="BQ49" i="6" s="1"/>
  <c r="AE15" i="6"/>
  <c r="AD88" i="6"/>
  <c r="BQ88" i="6" s="1"/>
  <c r="BQ15" i="6"/>
  <c r="AE18" i="6"/>
  <c r="AD52" i="6"/>
  <c r="BQ52" i="6" s="1"/>
  <c r="AD91" i="6"/>
  <c r="BQ91" i="6" s="1"/>
  <c r="BQ18" i="6"/>
  <c r="AE12" i="6"/>
  <c r="AD46" i="6"/>
  <c r="BQ46" i="6" s="1"/>
  <c r="AD85" i="6"/>
  <c r="BQ85" i="6" s="1"/>
  <c r="BQ12" i="6"/>
  <c r="AE65" i="6"/>
  <c r="AE82" i="6"/>
  <c r="AF9" i="6"/>
  <c r="AE43" i="6"/>
  <c r="AF30" i="6"/>
  <c r="BQ82" i="6"/>
  <c r="AD98" i="6"/>
  <c r="BQ98" i="6" s="1"/>
  <c r="AE25" i="6"/>
  <c r="AE34" i="6"/>
  <c r="AE36" i="6" s="1"/>
  <c r="AE64" i="6" s="1"/>
  <c r="AD59" i="6"/>
  <c r="BQ59" i="6" s="1"/>
  <c r="BQ25" i="6"/>
  <c r="AD86" i="6"/>
  <c r="BQ86" i="6" s="1"/>
  <c r="AD47" i="6"/>
  <c r="BQ47" i="6" s="1"/>
  <c r="AE13" i="6"/>
  <c r="BQ13" i="6"/>
  <c r="AG32" i="6"/>
  <c r="AG11" i="6"/>
  <c r="AF45" i="6"/>
  <c r="AF84" i="6"/>
  <c r="BQ36" i="6" l="1"/>
  <c r="BQ61" i="6"/>
  <c r="BQ27" i="6"/>
  <c r="AE27" i="6"/>
  <c r="BQ71" i="6"/>
  <c r="BQ73" i="6"/>
  <c r="C7" i="9"/>
  <c r="C7" i="8"/>
  <c r="D5" i="7"/>
  <c r="BQ77" i="6"/>
  <c r="BR42" i="6"/>
  <c r="C9" i="8"/>
  <c r="C18" i="8" s="1"/>
  <c r="C21" i="8"/>
  <c r="AF19" i="6"/>
  <c r="AE53" i="6"/>
  <c r="AE92" i="6"/>
  <c r="AF33" i="6"/>
  <c r="AF68" i="6" s="1"/>
  <c r="AF24" i="6"/>
  <c r="AE58" i="6"/>
  <c r="AE97" i="6"/>
  <c r="AE68" i="6"/>
  <c r="AG67" i="6"/>
  <c r="AE70" i="6"/>
  <c r="AF18" i="6"/>
  <c r="AE52" i="6"/>
  <c r="AE91" i="6"/>
  <c r="AF34" i="6"/>
  <c r="AF69" i="6" s="1"/>
  <c r="AF25" i="6"/>
  <c r="AE98" i="6"/>
  <c r="AE59" i="6"/>
  <c r="BQ100" i="6"/>
  <c r="AC77" i="6"/>
  <c r="AC103" i="6"/>
  <c r="AC62" i="6"/>
  <c r="AC73" i="6"/>
  <c r="AC102" i="6" s="1"/>
  <c r="AC129" i="6" s="1"/>
  <c r="AC130" i="6" s="1"/>
  <c r="AD42" i="6"/>
  <c r="AD61" i="6" s="1"/>
  <c r="AF23" i="6"/>
  <c r="AE96" i="6"/>
  <c r="AE57" i="6"/>
  <c r="AD100" i="6"/>
  <c r="AE81" i="6" s="1"/>
  <c r="AB130" i="6"/>
  <c r="AF21" i="6"/>
  <c r="AE94" i="6"/>
  <c r="AE55" i="6"/>
  <c r="AE93" i="6"/>
  <c r="AF20" i="6"/>
  <c r="AE54" i="6"/>
  <c r="AF83" i="6"/>
  <c r="AF44" i="6"/>
  <c r="AG31" i="6"/>
  <c r="AG10" i="6"/>
  <c r="AF65" i="6"/>
  <c r="AF16" i="6"/>
  <c r="AE89" i="6"/>
  <c r="AE50" i="6"/>
  <c r="AE86" i="6"/>
  <c r="AF13" i="6"/>
  <c r="AE47" i="6"/>
  <c r="AF26" i="6"/>
  <c r="AF35" i="6"/>
  <c r="AF70" i="6" s="1"/>
  <c r="AE99" i="6"/>
  <c r="AE60" i="6"/>
  <c r="AF82" i="6"/>
  <c r="AF43" i="6"/>
  <c r="AG9" i="6"/>
  <c r="AG30" i="6"/>
  <c r="AF12" i="6"/>
  <c r="AE46" i="6"/>
  <c r="AE85" i="6"/>
  <c r="AH32" i="6"/>
  <c r="AH67" i="6" s="1"/>
  <c r="AH11" i="6"/>
  <c r="AG45" i="6"/>
  <c r="AG84" i="6"/>
  <c r="AE49" i="6"/>
  <c r="AF15" i="6"/>
  <c r="AE88" i="6"/>
  <c r="AE87" i="6"/>
  <c r="AF14" i="6"/>
  <c r="AE48" i="6"/>
  <c r="AE69" i="6"/>
  <c r="AF22" i="6"/>
  <c r="AE95" i="6"/>
  <c r="AE56" i="6"/>
  <c r="AF17" i="6"/>
  <c r="AE51" i="6"/>
  <c r="AE90" i="6"/>
  <c r="AE71" i="6" l="1"/>
  <c r="AG65" i="6"/>
  <c r="AG22" i="6"/>
  <c r="AF56" i="6"/>
  <c r="AF95" i="6"/>
  <c r="AF92" i="6"/>
  <c r="AF53" i="6"/>
  <c r="AG19" i="6"/>
  <c r="AG82" i="6"/>
  <c r="AH9" i="6"/>
  <c r="AH30" i="6"/>
  <c r="AG43" i="6"/>
  <c r="AG21" i="6"/>
  <c r="AF94" i="6"/>
  <c r="AF55" i="6"/>
  <c r="AF86" i="6"/>
  <c r="AG13" i="6"/>
  <c r="AF47" i="6"/>
  <c r="AF36" i="6"/>
  <c r="AF64" i="6" s="1"/>
  <c r="AF71" i="6" s="1"/>
  <c r="AG17" i="6"/>
  <c r="AF90" i="6"/>
  <c r="AF51" i="6"/>
  <c r="AG33" i="6"/>
  <c r="AG24" i="6"/>
  <c r="AF58" i="6"/>
  <c r="AF97" i="6"/>
  <c r="AD73" i="6"/>
  <c r="AE42" i="6"/>
  <c r="AE61" i="6" s="1"/>
  <c r="AD103" i="6"/>
  <c r="AD62" i="6"/>
  <c r="AD77" i="6"/>
  <c r="AH31" i="6"/>
  <c r="AH66" i="6" s="1"/>
  <c r="AG83" i="6"/>
  <c r="AH10" i="6"/>
  <c r="AG44" i="6"/>
  <c r="AG18" i="6"/>
  <c r="AF52" i="6"/>
  <c r="AF91" i="6"/>
  <c r="C22" i="8"/>
  <c r="C23" i="8" s="1"/>
  <c r="C24" i="8" s="1"/>
  <c r="AI32" i="6"/>
  <c r="AI11" i="6"/>
  <c r="AH45" i="6"/>
  <c r="AH84" i="6"/>
  <c r="AG66" i="6"/>
  <c r="D8" i="7"/>
  <c r="C8" i="9" s="1"/>
  <c r="C9" i="9" s="1"/>
  <c r="C10" i="9" s="1"/>
  <c r="C10" i="8"/>
  <c r="C25" i="8" s="1"/>
  <c r="BR81" i="6"/>
  <c r="D6" i="7"/>
  <c r="C30" i="10" s="1"/>
  <c r="D18" i="7"/>
  <c r="AG12" i="6"/>
  <c r="AF85" i="6"/>
  <c r="AF46" i="6"/>
  <c r="AG35" i="6"/>
  <c r="AG26" i="6"/>
  <c r="AF99" i="6"/>
  <c r="AF60" i="6"/>
  <c r="AF87" i="6"/>
  <c r="AG14" i="6"/>
  <c r="AF48" i="6"/>
  <c r="AG23" i="6"/>
  <c r="AF96" i="6"/>
  <c r="AF57" i="6"/>
  <c r="AF49" i="6"/>
  <c r="AG15" i="6"/>
  <c r="AF88" i="6"/>
  <c r="AG16" i="6"/>
  <c r="AF89" i="6"/>
  <c r="AF50" i="6"/>
  <c r="AG34" i="6"/>
  <c r="AG25" i="6"/>
  <c r="AF98" i="6"/>
  <c r="AF59" i="6"/>
  <c r="AE100" i="6"/>
  <c r="AF81" i="6" s="1"/>
  <c r="AF27" i="6"/>
  <c r="AF93" i="6"/>
  <c r="AG20" i="6"/>
  <c r="AF54" i="6"/>
  <c r="BQ102" i="6"/>
  <c r="BQ129" i="6" s="1"/>
  <c r="BQ103" i="6"/>
  <c r="D7" i="7" l="1"/>
  <c r="AH82" i="6"/>
  <c r="AI9" i="6"/>
  <c r="AI30" i="6"/>
  <c r="AH43" i="6"/>
  <c r="AG68" i="6"/>
  <c r="AH14" i="6"/>
  <c r="AG87" i="6"/>
  <c r="AG48" i="6"/>
  <c r="AH35" i="6"/>
  <c r="AH70" i="6" s="1"/>
  <c r="AH26" i="6"/>
  <c r="AG60" i="6"/>
  <c r="AG99" i="6"/>
  <c r="AG70" i="6"/>
  <c r="AD102" i="6"/>
  <c r="AD129" i="6" s="1"/>
  <c r="AD130" i="6" s="1"/>
  <c r="AH12" i="6"/>
  <c r="AG85" i="6"/>
  <c r="AG46" i="6"/>
  <c r="AH65" i="6"/>
  <c r="AF42" i="6"/>
  <c r="AF61" i="6" s="1"/>
  <c r="AE73" i="6"/>
  <c r="AE103" i="6"/>
  <c r="AE62" i="6"/>
  <c r="AE77" i="6"/>
  <c r="AG92" i="6"/>
  <c r="AG53" i="6"/>
  <c r="AH19" i="6"/>
  <c r="C29" i="8"/>
  <c r="C32" i="8" s="1"/>
  <c r="C34" i="8" s="1"/>
  <c r="C33" i="8"/>
  <c r="C35" i="8" s="1"/>
  <c r="AH16" i="6"/>
  <c r="AG89" i="6"/>
  <c r="AG50" i="6"/>
  <c r="D11" i="7"/>
  <c r="AG49" i="6"/>
  <c r="AH15" i="6"/>
  <c r="AG88" i="6"/>
  <c r="AH21" i="6"/>
  <c r="AG94" i="6"/>
  <c r="AG55" i="6"/>
  <c r="AJ32" i="6"/>
  <c r="AJ67" i="6" s="1"/>
  <c r="AJ11" i="6"/>
  <c r="AI84" i="6"/>
  <c r="AI45" i="6"/>
  <c r="D30" i="10"/>
  <c r="AF100" i="6"/>
  <c r="AG81" i="6" s="1"/>
  <c r="AH20" i="6"/>
  <c r="AG93" i="6"/>
  <c r="AG54" i="6"/>
  <c r="AH34" i="6"/>
  <c r="AH69" i="6" s="1"/>
  <c r="AH25" i="6"/>
  <c r="AG59" i="6"/>
  <c r="AG98" i="6"/>
  <c r="AH22" i="6"/>
  <c r="AG56" i="6"/>
  <c r="AG95" i="6"/>
  <c r="AI31" i="6"/>
  <c r="AI66" i="6" s="1"/>
  <c r="AH83" i="6"/>
  <c r="AI10" i="6"/>
  <c r="AH44" i="6"/>
  <c r="AH17" i="6"/>
  <c r="AG90" i="6"/>
  <c r="AG51" i="6"/>
  <c r="AG86" i="6"/>
  <c r="AH13" i="6"/>
  <c r="AG47" i="6"/>
  <c r="AG27" i="6"/>
  <c r="AH33" i="6"/>
  <c r="AH68" i="6" s="1"/>
  <c r="AG97" i="6"/>
  <c r="AH24" i="6"/>
  <c r="AG58" i="6"/>
  <c r="AI67" i="6"/>
  <c r="AG69" i="6"/>
  <c r="B30" i="10"/>
  <c r="AG36" i="6"/>
  <c r="AG64" i="6" s="1"/>
  <c r="AH23" i="6"/>
  <c r="AG96" i="6"/>
  <c r="AG57" i="6"/>
  <c r="AH18" i="6"/>
  <c r="AG52" i="6"/>
  <c r="AG91" i="6"/>
  <c r="AG100" i="6" l="1"/>
  <c r="AH81" i="6" s="1"/>
  <c r="AH36" i="6"/>
  <c r="AH64" i="6" s="1"/>
  <c r="AH71" i="6" s="1"/>
  <c r="AI19" i="6"/>
  <c r="AH92" i="6"/>
  <c r="AH53" i="6"/>
  <c r="AH86" i="6"/>
  <c r="AI13" i="6"/>
  <c r="AH47" i="6"/>
  <c r="AI12" i="6"/>
  <c r="AH85" i="6"/>
  <c r="AH46" i="6"/>
  <c r="AI65" i="6"/>
  <c r="AI82" i="6"/>
  <c r="AJ9" i="6"/>
  <c r="AJ30" i="6"/>
  <c r="AI43" i="6"/>
  <c r="AI21" i="6"/>
  <c r="AH94" i="6"/>
  <c r="AH55" i="6"/>
  <c r="AE102" i="6"/>
  <c r="AE129" i="6" s="1"/>
  <c r="AE130" i="6" s="1"/>
  <c r="AK11" i="6"/>
  <c r="AK32" i="6"/>
  <c r="AK67" i="6" s="1"/>
  <c r="AJ84" i="6"/>
  <c r="AJ45" i="6"/>
  <c r="AI18" i="6"/>
  <c r="AH52" i="6"/>
  <c r="AH91" i="6"/>
  <c r="AJ31" i="6"/>
  <c r="AI44" i="6"/>
  <c r="AI83" i="6"/>
  <c r="AJ10" i="6"/>
  <c r="AI22" i="6"/>
  <c r="AH95" i="6"/>
  <c r="AH56" i="6"/>
  <c r="AG71" i="6"/>
  <c r="AI35" i="6"/>
  <c r="AI26" i="6"/>
  <c r="AH99" i="6"/>
  <c r="AH60" i="6"/>
  <c r="AI33" i="6"/>
  <c r="AI68" i="6" s="1"/>
  <c r="AH97" i="6"/>
  <c r="AI24" i="6"/>
  <c r="AH58" i="6"/>
  <c r="AI16" i="6"/>
  <c r="AH50" i="6"/>
  <c r="AH89" i="6"/>
  <c r="AH27" i="6"/>
  <c r="AF103" i="6"/>
  <c r="AF77" i="6"/>
  <c r="AF62" i="6"/>
  <c r="AF73" i="6"/>
  <c r="AF102" i="6" s="1"/>
  <c r="AF129" i="6" s="1"/>
  <c r="AF130" i="6" s="1"/>
  <c r="AG42" i="6"/>
  <c r="AG61" i="6" s="1"/>
  <c r="AI17" i="6"/>
  <c r="AH51" i="6"/>
  <c r="AH90" i="6"/>
  <c r="AI23" i="6"/>
  <c r="AH96" i="6"/>
  <c r="AH57" i="6"/>
  <c r="D12" i="7"/>
  <c r="D19" i="7" s="1"/>
  <c r="D21" i="7" s="1"/>
  <c r="C13" i="9" s="1"/>
  <c r="C15" i="9" s="1"/>
  <c r="AI25" i="6"/>
  <c r="AI34" i="6"/>
  <c r="AH98" i="6"/>
  <c r="AH59" i="6"/>
  <c r="AI14" i="6"/>
  <c r="AH87" i="6"/>
  <c r="AH48" i="6"/>
  <c r="AI20" i="6"/>
  <c r="AH93" i="6"/>
  <c r="AH54" i="6"/>
  <c r="AH88" i="6"/>
  <c r="AI15" i="6"/>
  <c r="AH49" i="6"/>
  <c r="AI36" i="6" l="1"/>
  <c r="AI64" i="6" s="1"/>
  <c r="AI27" i="6"/>
  <c r="AG103" i="6"/>
  <c r="AG77" i="6"/>
  <c r="AG62" i="6"/>
  <c r="AG73" i="6"/>
  <c r="AG102" i="6" s="1"/>
  <c r="AG129" i="6" s="1"/>
  <c r="AG130" i="6" s="1"/>
  <c r="AH42" i="6"/>
  <c r="AH61" i="6" s="1"/>
  <c r="AH100" i="6"/>
  <c r="AI81" i="6" s="1"/>
  <c r="AI86" i="6"/>
  <c r="AI47" i="6"/>
  <c r="AJ13" i="6"/>
  <c r="AJ19" i="6"/>
  <c r="AI92" i="6"/>
  <c r="AI53" i="6"/>
  <c r="AI70" i="6"/>
  <c r="AI69" i="6"/>
  <c r="AJ21" i="6"/>
  <c r="AI94" i="6"/>
  <c r="AI55" i="6"/>
  <c r="AJ23" i="6"/>
  <c r="AI57" i="6"/>
  <c r="AI96" i="6"/>
  <c r="AJ66" i="6"/>
  <c r="AJ20" i="6"/>
  <c r="AI93" i="6"/>
  <c r="AI54" i="6"/>
  <c r="AJ18" i="6"/>
  <c r="AI91" i="6"/>
  <c r="AI52" i="6"/>
  <c r="AJ35" i="6"/>
  <c r="AJ70" i="6" s="1"/>
  <c r="AJ26" i="6"/>
  <c r="AI60" i="6"/>
  <c r="AI99" i="6"/>
  <c r="D13" i="7"/>
  <c r="D29" i="7" s="1"/>
  <c r="AJ65" i="6"/>
  <c r="AJ16" i="6"/>
  <c r="AI50" i="6"/>
  <c r="AI89" i="6"/>
  <c r="AI95" i="6"/>
  <c r="AJ22" i="6"/>
  <c r="AI56" i="6"/>
  <c r="AJ44" i="6"/>
  <c r="AK31" i="6"/>
  <c r="AK66" i="6" s="1"/>
  <c r="AK10" i="6"/>
  <c r="AJ83" i="6"/>
  <c r="AJ15" i="6"/>
  <c r="AI88" i="6"/>
  <c r="AI49" i="6"/>
  <c r="AJ12" i="6"/>
  <c r="AI46" i="6"/>
  <c r="AI85" i="6"/>
  <c r="AJ33" i="6"/>
  <c r="AI97" i="6"/>
  <c r="AJ24" i="6"/>
  <c r="AI58" i="6"/>
  <c r="AJ14" i="6"/>
  <c r="AI87" i="6"/>
  <c r="AI48" i="6"/>
  <c r="AL32" i="6"/>
  <c r="AL11" i="6"/>
  <c r="AK45" i="6"/>
  <c r="AK84" i="6"/>
  <c r="AI98" i="6"/>
  <c r="AJ25" i="6"/>
  <c r="AJ34" i="6"/>
  <c r="AJ69" i="6" s="1"/>
  <c r="AI59" i="6"/>
  <c r="AJ17" i="6"/>
  <c r="AI90" i="6"/>
  <c r="AI51" i="6"/>
  <c r="AJ82" i="6"/>
  <c r="AK9" i="6"/>
  <c r="AK30" i="6"/>
  <c r="AJ43" i="6"/>
  <c r="AJ27" i="6" l="1"/>
  <c r="AI100" i="6"/>
  <c r="AJ81" i="6" s="1"/>
  <c r="AK12" i="6"/>
  <c r="AJ46" i="6"/>
  <c r="AJ85" i="6"/>
  <c r="AK17" i="6"/>
  <c r="AJ90" i="6"/>
  <c r="AJ51" i="6"/>
  <c r="AK25" i="6"/>
  <c r="AK34" i="6"/>
  <c r="AK69" i="6" s="1"/>
  <c r="AJ98" i="6"/>
  <c r="AJ59" i="6"/>
  <c r="AK22" i="6"/>
  <c r="AJ95" i="6"/>
  <c r="AJ56" i="6"/>
  <c r="AK19" i="6"/>
  <c r="AJ92" i="6"/>
  <c r="AJ53" i="6"/>
  <c r="AK15" i="6"/>
  <c r="AJ49" i="6"/>
  <c r="AJ88" i="6"/>
  <c r="AK44" i="6"/>
  <c r="AK83" i="6"/>
  <c r="AL31" i="6"/>
  <c r="AL66" i="6" s="1"/>
  <c r="AL10" i="6"/>
  <c r="AK18" i="6"/>
  <c r="AJ91" i="6"/>
  <c r="AJ52" i="6"/>
  <c r="AL67" i="6"/>
  <c r="AK23" i="6"/>
  <c r="AJ96" i="6"/>
  <c r="AJ57" i="6"/>
  <c r="AK21" i="6"/>
  <c r="AJ55" i="6"/>
  <c r="AJ94" i="6"/>
  <c r="AK26" i="6"/>
  <c r="AK35" i="6"/>
  <c r="AJ99" i="6"/>
  <c r="AJ60" i="6"/>
  <c r="AM32" i="6"/>
  <c r="AM67" i="6" s="1"/>
  <c r="AM11" i="6"/>
  <c r="AL45" i="6"/>
  <c r="AL84" i="6"/>
  <c r="AK20" i="6"/>
  <c r="AJ93" i="6"/>
  <c r="AJ54" i="6"/>
  <c r="AJ87" i="6"/>
  <c r="AK14" i="6"/>
  <c r="AJ48" i="6"/>
  <c r="AK16" i="6"/>
  <c r="AJ50" i="6"/>
  <c r="AJ89" i="6"/>
  <c r="AJ68" i="6"/>
  <c r="AK82" i="6"/>
  <c r="AL9" i="6"/>
  <c r="AK43" i="6"/>
  <c r="AL30" i="6"/>
  <c r="AJ86" i="6"/>
  <c r="AK13" i="6"/>
  <c r="AJ47" i="6"/>
  <c r="AH77" i="6"/>
  <c r="AH62" i="6"/>
  <c r="AH103" i="6"/>
  <c r="AH73" i="6"/>
  <c r="AH102" i="6" s="1"/>
  <c r="AH129" i="6" s="1"/>
  <c r="AH130" i="6" s="1"/>
  <c r="AI42" i="6"/>
  <c r="AI61" i="6" s="1"/>
  <c r="AK33" i="6"/>
  <c r="AK68" i="6" s="1"/>
  <c r="AJ97" i="6"/>
  <c r="AK24" i="6"/>
  <c r="AJ58" i="6"/>
  <c r="AI71" i="6"/>
  <c r="AJ36" i="6"/>
  <c r="AJ64" i="6" s="1"/>
  <c r="AK65" i="6"/>
  <c r="AJ100" i="6" l="1"/>
  <c r="AK81" i="6" s="1"/>
  <c r="AK27" i="6"/>
  <c r="AL44" i="6"/>
  <c r="AM31" i="6"/>
  <c r="AM66" i="6" s="1"/>
  <c r="AL83" i="6"/>
  <c r="AM10" i="6"/>
  <c r="AL20" i="6"/>
  <c r="AK93" i="6"/>
  <c r="AK54" i="6"/>
  <c r="AK53" i="6"/>
  <c r="AL19" i="6"/>
  <c r="AK92" i="6"/>
  <c r="AL23" i="6"/>
  <c r="AK57" i="6"/>
  <c r="AK96" i="6"/>
  <c r="AI77" i="6"/>
  <c r="AI62" i="6"/>
  <c r="AI73" i="6"/>
  <c r="AI102" i="6" s="1"/>
  <c r="AI129" i="6" s="1"/>
  <c r="AI130" i="6" s="1"/>
  <c r="AI103" i="6"/>
  <c r="AJ42" i="6"/>
  <c r="AJ61" i="6" s="1"/>
  <c r="AL65" i="6"/>
  <c r="AL33" i="6"/>
  <c r="AL68" i="6" s="1"/>
  <c r="AK97" i="6"/>
  <c r="AL24" i="6"/>
  <c r="AK58" i="6"/>
  <c r="AN32" i="6"/>
  <c r="AN67" i="6" s="1"/>
  <c r="AN11" i="6"/>
  <c r="AM45" i="6"/>
  <c r="AM84" i="6"/>
  <c r="AK70" i="6"/>
  <c r="AL21" i="6"/>
  <c r="AK55" i="6"/>
  <c r="AK94" i="6"/>
  <c r="AK98" i="6"/>
  <c r="AL34" i="6"/>
  <c r="AL69" i="6" s="1"/>
  <c r="AL25" i="6"/>
  <c r="AK59" i="6"/>
  <c r="AK49" i="6"/>
  <c r="AL15" i="6"/>
  <c r="AK88" i="6"/>
  <c r="AK86" i="6"/>
  <c r="AK47" i="6"/>
  <c r="AL13" i="6"/>
  <c r="AL35" i="6"/>
  <c r="AL70" i="6" s="1"/>
  <c r="AL26" i="6"/>
  <c r="AK60" i="6"/>
  <c r="AK99" i="6"/>
  <c r="AL22" i="6"/>
  <c r="AK56" i="6"/>
  <c r="AK95" i="6"/>
  <c r="AM30" i="6"/>
  <c r="AL82" i="6"/>
  <c r="AM9" i="6"/>
  <c r="AL43" i="6"/>
  <c r="AK36" i="6"/>
  <c r="AK64" i="6" s="1"/>
  <c r="AK71" i="6" s="1"/>
  <c r="AJ71" i="6"/>
  <c r="AL17" i="6"/>
  <c r="AK51" i="6"/>
  <c r="AK90" i="6"/>
  <c r="AK50" i="6"/>
  <c r="AL16" i="6"/>
  <c r="AK89" i="6"/>
  <c r="AK91" i="6"/>
  <c r="AL18" i="6"/>
  <c r="AK52" i="6"/>
  <c r="AK87" i="6"/>
  <c r="AK48" i="6"/>
  <c r="AL14" i="6"/>
  <c r="AL12" i="6"/>
  <c r="AK85" i="6"/>
  <c r="AK46" i="6"/>
  <c r="AK100" i="6" l="1"/>
  <c r="AL81" i="6" s="1"/>
  <c r="AM26" i="6"/>
  <c r="AM35" i="6"/>
  <c r="AM70" i="6" s="1"/>
  <c r="AL60" i="6"/>
  <c r="AL99" i="6"/>
  <c r="AM13" i="6"/>
  <c r="AL47" i="6"/>
  <c r="AL86" i="6"/>
  <c r="AM16" i="6"/>
  <c r="AL50" i="6"/>
  <c r="AL89" i="6"/>
  <c r="AL53" i="6"/>
  <c r="AM19" i="6"/>
  <c r="AL92" i="6"/>
  <c r="AL27" i="6"/>
  <c r="AM33" i="6"/>
  <c r="AM68" i="6" s="1"/>
  <c r="AL97" i="6"/>
  <c r="AM24" i="6"/>
  <c r="AL58" i="6"/>
  <c r="AL94" i="6"/>
  <c r="AM21" i="6"/>
  <c r="AL55" i="6"/>
  <c r="AL87" i="6"/>
  <c r="AM14" i="6"/>
  <c r="AL48" i="6"/>
  <c r="AM18" i="6"/>
  <c r="AL52" i="6"/>
  <c r="AL91" i="6"/>
  <c r="AM34" i="6"/>
  <c r="AM69" i="6" s="1"/>
  <c r="AL98" i="6"/>
  <c r="AM25" i="6"/>
  <c r="AL59" i="6"/>
  <c r="AL90" i="6"/>
  <c r="AM17" i="6"/>
  <c r="AL51" i="6"/>
  <c r="AM82" i="6"/>
  <c r="AN30" i="6"/>
  <c r="AN9" i="6"/>
  <c r="AM43" i="6"/>
  <c r="AM20" i="6"/>
  <c r="AL54" i="6"/>
  <c r="AL93" i="6"/>
  <c r="AM12" i="6"/>
  <c r="AL85" i="6"/>
  <c r="AL46" i="6"/>
  <c r="AL36" i="6"/>
  <c r="AL64" i="6" s="1"/>
  <c r="AL71" i="6" s="1"/>
  <c r="AJ103" i="6"/>
  <c r="AJ62" i="6"/>
  <c r="AJ73" i="6"/>
  <c r="AK42" i="6"/>
  <c r="AK61" i="6" s="1"/>
  <c r="AJ77" i="6"/>
  <c r="AL88" i="6"/>
  <c r="AL49" i="6"/>
  <c r="AM15" i="6"/>
  <c r="AM23" i="6"/>
  <c r="AL57" i="6"/>
  <c r="AL96" i="6"/>
  <c r="AM65" i="6"/>
  <c r="AM22" i="6"/>
  <c r="AL95" i="6"/>
  <c r="AL56" i="6"/>
  <c r="AO32" i="6"/>
  <c r="AO67" i="6" s="1"/>
  <c r="AO11" i="6"/>
  <c r="AN45" i="6"/>
  <c r="AN84" i="6"/>
  <c r="AN31" i="6"/>
  <c r="AN66" i="6" s="1"/>
  <c r="AM44" i="6"/>
  <c r="AM83" i="6"/>
  <c r="AN10" i="6"/>
  <c r="AL100" i="6" l="1"/>
  <c r="AM81" i="6" s="1"/>
  <c r="AJ102" i="6"/>
  <c r="AJ129" i="6" s="1"/>
  <c r="AJ130" i="6" s="1"/>
  <c r="AN14" i="6"/>
  <c r="AM48" i="6"/>
  <c r="AM87" i="6"/>
  <c r="AK103" i="6"/>
  <c r="AK73" i="6"/>
  <c r="AL42" i="6"/>
  <c r="AL61" i="6" s="1"/>
  <c r="AK77" i="6"/>
  <c r="AK62" i="6"/>
  <c r="AN44" i="6"/>
  <c r="AO10" i="6"/>
  <c r="AN83" i="6"/>
  <c r="AO31" i="6"/>
  <c r="AO66" i="6" s="1"/>
  <c r="AN20" i="6"/>
  <c r="AM93" i="6"/>
  <c r="AM54" i="6"/>
  <c r="AM92" i="6"/>
  <c r="AN19" i="6"/>
  <c r="AM53" i="6"/>
  <c r="AN17" i="6"/>
  <c r="AM90" i="6"/>
  <c r="AM51" i="6"/>
  <c r="AN13" i="6"/>
  <c r="AM47" i="6"/>
  <c r="AM86" i="6"/>
  <c r="AM94" i="6"/>
  <c r="AN21" i="6"/>
  <c r="AM55" i="6"/>
  <c r="AP32" i="6"/>
  <c r="AO45" i="6"/>
  <c r="AP11" i="6"/>
  <c r="AO84" i="6"/>
  <c r="AM89" i="6"/>
  <c r="AN16" i="6"/>
  <c r="AM50" i="6"/>
  <c r="AN23" i="6"/>
  <c r="AM96" i="6"/>
  <c r="AM57" i="6"/>
  <c r="AN18" i="6"/>
  <c r="AM91" i="6"/>
  <c r="AM52" i="6"/>
  <c r="AN12" i="6"/>
  <c r="AM46" i="6"/>
  <c r="AM85" i="6"/>
  <c r="AM97" i="6"/>
  <c r="AN24" i="6"/>
  <c r="AN33" i="6"/>
  <c r="AN68" i="6" s="1"/>
  <c r="AM58" i="6"/>
  <c r="AN82" i="6"/>
  <c r="AO30" i="6"/>
  <c r="AN43" i="6"/>
  <c r="AO9" i="6"/>
  <c r="AM27" i="6"/>
  <c r="AN65" i="6"/>
  <c r="AM95" i="6"/>
  <c r="AN22" i="6"/>
  <c r="AM56" i="6"/>
  <c r="AM36" i="6"/>
  <c r="AM64" i="6" s="1"/>
  <c r="AM71" i="6" s="1"/>
  <c r="AN25" i="6"/>
  <c r="AN34" i="6"/>
  <c r="AN69" i="6" s="1"/>
  <c r="AM98" i="6"/>
  <c r="AM59" i="6"/>
  <c r="AM88" i="6"/>
  <c r="AN15" i="6"/>
  <c r="AM49" i="6"/>
  <c r="AN26" i="6"/>
  <c r="AN35" i="6"/>
  <c r="AN70" i="6" s="1"/>
  <c r="AM99" i="6"/>
  <c r="AM60" i="6"/>
  <c r="AM100" i="6" l="1"/>
  <c r="AN81" i="6" s="1"/>
  <c r="AO18" i="6"/>
  <c r="AN91" i="6"/>
  <c r="AN52" i="6"/>
  <c r="AO23" i="6"/>
  <c r="AN96" i="6"/>
  <c r="AN57" i="6"/>
  <c r="AO25" i="6"/>
  <c r="AO34" i="6"/>
  <c r="AO69" i="6" s="1"/>
  <c r="AN98" i="6"/>
  <c r="AN59" i="6"/>
  <c r="AO65" i="6"/>
  <c r="AN97" i="6"/>
  <c r="AO24" i="6"/>
  <c r="AO33" i="6"/>
  <c r="AO68" i="6" s="1"/>
  <c r="AN58" i="6"/>
  <c r="AO12" i="6"/>
  <c r="AN46" i="6"/>
  <c r="AN85" i="6"/>
  <c r="AO35" i="6"/>
  <c r="AO70" i="6" s="1"/>
  <c r="AO26" i="6"/>
  <c r="AN99" i="6"/>
  <c r="AN60" i="6"/>
  <c r="AO19" i="6"/>
  <c r="AN53" i="6"/>
  <c r="AN92" i="6"/>
  <c r="AN89" i="6"/>
  <c r="AO16" i="6"/>
  <c r="AN50" i="6"/>
  <c r="AO22" i="6"/>
  <c r="AN95" i="6"/>
  <c r="AN56" i="6"/>
  <c r="AL103" i="6"/>
  <c r="AL73" i="6"/>
  <c r="AL77" i="6"/>
  <c r="AL62" i="6"/>
  <c r="AM42" i="6"/>
  <c r="AM61" i="6" s="1"/>
  <c r="AO13" i="6"/>
  <c r="AN47" i="6"/>
  <c r="AN86" i="6"/>
  <c r="AO17" i="6"/>
  <c r="AN90" i="6"/>
  <c r="AN51" i="6"/>
  <c r="AO15" i="6"/>
  <c r="AN88" i="6"/>
  <c r="AN49" i="6"/>
  <c r="AO20" i="6"/>
  <c r="AN93" i="6"/>
  <c r="AN54" i="6"/>
  <c r="AP31" i="6"/>
  <c r="AO44" i="6"/>
  <c r="AP10" i="6"/>
  <c r="AO83" i="6"/>
  <c r="AN36" i="6"/>
  <c r="AN64" i="6" s="1"/>
  <c r="AN71" i="6" s="1"/>
  <c r="AQ32" i="6"/>
  <c r="AP84" i="6"/>
  <c r="BR84" i="6" s="1"/>
  <c r="AQ11" i="6"/>
  <c r="AP45" i="6"/>
  <c r="BR45" i="6" s="1"/>
  <c r="BR11" i="6"/>
  <c r="AK102" i="6"/>
  <c r="AK129" i="6" s="1"/>
  <c r="AK130" i="6" s="1"/>
  <c r="AP67" i="6"/>
  <c r="BR67" i="6" s="1"/>
  <c r="BR32" i="6"/>
  <c r="AP30" i="6"/>
  <c r="AP9" i="6"/>
  <c r="AO82" i="6"/>
  <c r="AO43" i="6"/>
  <c r="AN94" i="6"/>
  <c r="AO21" i="6"/>
  <c r="AN55" i="6"/>
  <c r="AN27" i="6"/>
  <c r="AN87" i="6"/>
  <c r="AO14" i="6"/>
  <c r="AN48" i="6"/>
  <c r="AN100" i="6" l="1"/>
  <c r="AO81" i="6" s="1"/>
  <c r="AQ31" i="6"/>
  <c r="AQ10" i="6"/>
  <c r="AP44" i="6"/>
  <c r="BR44" i="6" s="1"/>
  <c r="AP83" i="6"/>
  <c r="BR83" i="6" s="1"/>
  <c r="BR10" i="6"/>
  <c r="AP66" i="6"/>
  <c r="BR66" i="6" s="1"/>
  <c r="BR31" i="6"/>
  <c r="AP20" i="6"/>
  <c r="AO93" i="6"/>
  <c r="AO54" i="6"/>
  <c r="AO87" i="6"/>
  <c r="AP14" i="6"/>
  <c r="AO48" i="6"/>
  <c r="AP24" i="6"/>
  <c r="AP33" i="6"/>
  <c r="AO58" i="6"/>
  <c r="AO97" i="6"/>
  <c r="AO36" i="6"/>
  <c r="AO64" i="6" s="1"/>
  <c r="AO71" i="6" s="1"/>
  <c r="AP13" i="6"/>
  <c r="AO47" i="6"/>
  <c r="AO86" i="6"/>
  <c r="AP82" i="6"/>
  <c r="AQ9" i="6"/>
  <c r="AQ30" i="6"/>
  <c r="AP27" i="6"/>
  <c r="AP43" i="6"/>
  <c r="BR43" i="6" s="1"/>
  <c r="BR9" i="6"/>
  <c r="AL102" i="6"/>
  <c r="AL129" i="6" s="1"/>
  <c r="AL130" i="6" s="1"/>
  <c r="AO89" i="6"/>
  <c r="AO50" i="6"/>
  <c r="AP16" i="6"/>
  <c r="AO46" i="6"/>
  <c r="AP12" i="6"/>
  <c r="AO85" i="6"/>
  <c r="AP21" i="6"/>
  <c r="AO94" i="6"/>
  <c r="AO55" i="6"/>
  <c r="AO27" i="6"/>
  <c r="AM103" i="6"/>
  <c r="AM73" i="6"/>
  <c r="AM62" i="6"/>
  <c r="AM77" i="6"/>
  <c r="AN42" i="6"/>
  <c r="AN61" i="6" s="1"/>
  <c r="AP65" i="6"/>
  <c r="BR65" i="6" s="1"/>
  <c r="BR30" i="6"/>
  <c r="AP25" i="6"/>
  <c r="AP34" i="6"/>
  <c r="AO59" i="6"/>
  <c r="AO98" i="6"/>
  <c r="AP23" i="6"/>
  <c r="AO96" i="6"/>
  <c r="AO57" i="6"/>
  <c r="AR11" i="6"/>
  <c r="AR32" i="6"/>
  <c r="AR67" i="6" s="1"/>
  <c r="AQ84" i="6"/>
  <c r="AQ45" i="6"/>
  <c r="AP22" i="6"/>
  <c r="AO95" i="6"/>
  <c r="AO56" i="6"/>
  <c r="AQ67" i="6"/>
  <c r="AP19" i="6"/>
  <c r="AO53" i="6"/>
  <c r="AO92" i="6"/>
  <c r="AP35" i="6"/>
  <c r="AP26" i="6"/>
  <c r="AO60" i="6"/>
  <c r="AO99" i="6"/>
  <c r="AP15" i="6"/>
  <c r="AO49" i="6"/>
  <c r="AO88" i="6"/>
  <c r="AO90" i="6"/>
  <c r="AP17" i="6"/>
  <c r="AO51" i="6"/>
  <c r="AP18" i="6"/>
  <c r="AO91" i="6"/>
  <c r="AO52" i="6"/>
  <c r="AO100" i="6" l="1"/>
  <c r="AP81" i="6" s="1"/>
  <c r="AQ23" i="6"/>
  <c r="AP96" i="6"/>
  <c r="BR96" i="6" s="1"/>
  <c r="AP57" i="6"/>
  <c r="BR57" i="6" s="1"/>
  <c r="BR23" i="6"/>
  <c r="AQ34" i="6"/>
  <c r="AQ25" i="6"/>
  <c r="AP59" i="6"/>
  <c r="BR59" i="6" s="1"/>
  <c r="AP98" i="6"/>
  <c r="BR98" i="6" s="1"/>
  <c r="BR25" i="6"/>
  <c r="AS32" i="6"/>
  <c r="AS11" i="6"/>
  <c r="AR84" i="6"/>
  <c r="AR45" i="6"/>
  <c r="AP69" i="6"/>
  <c r="BR69" i="6" s="1"/>
  <c r="BR34" i="6"/>
  <c r="AP47" i="6"/>
  <c r="BR47" i="6" s="1"/>
  <c r="AQ13" i="6"/>
  <c r="AP86" i="6"/>
  <c r="BR86" i="6" s="1"/>
  <c r="BR13" i="6"/>
  <c r="AN73" i="6"/>
  <c r="AN62" i="6"/>
  <c r="AN77" i="6"/>
  <c r="AO42" i="6"/>
  <c r="AO61" i="6" s="1"/>
  <c r="AN103" i="6"/>
  <c r="AM102" i="6"/>
  <c r="AM129" i="6" s="1"/>
  <c r="AM130" i="6" s="1"/>
  <c r="AQ82" i="6"/>
  <c r="AR9" i="6"/>
  <c r="AR30" i="6"/>
  <c r="AQ43" i="6"/>
  <c r="AQ17" i="6"/>
  <c r="AP51" i="6"/>
  <c r="BR51" i="6" s="1"/>
  <c r="AP90" i="6"/>
  <c r="BR90" i="6" s="1"/>
  <c r="BR17" i="6"/>
  <c r="AP36" i="6"/>
  <c r="AP64" i="6" s="1"/>
  <c r="AQ15" i="6"/>
  <c r="AP49" i="6"/>
  <c r="BR49" i="6" s="1"/>
  <c r="AP88" i="6"/>
  <c r="BR88" i="6" s="1"/>
  <c r="BR15" i="6"/>
  <c r="BR82" i="6"/>
  <c r="AP68" i="6"/>
  <c r="BR68" i="6" s="1"/>
  <c r="BR33" i="6"/>
  <c r="AQ33" i="6"/>
  <c r="AQ24" i="6"/>
  <c r="AP97" i="6"/>
  <c r="BR97" i="6" s="1"/>
  <c r="AP58" i="6"/>
  <c r="BR58" i="6" s="1"/>
  <c r="BR24" i="6"/>
  <c r="AP87" i="6"/>
  <c r="BR87" i="6" s="1"/>
  <c r="AP48" i="6"/>
  <c r="BR48" i="6" s="1"/>
  <c r="AQ14" i="6"/>
  <c r="BR14" i="6"/>
  <c r="AP53" i="6"/>
  <c r="BR53" i="6" s="1"/>
  <c r="AQ19" i="6"/>
  <c r="AP92" i="6"/>
  <c r="BR92" i="6" s="1"/>
  <c r="BR19" i="6"/>
  <c r="AQ20" i="6"/>
  <c r="AP93" i="6"/>
  <c r="BR93" i="6" s="1"/>
  <c r="AP54" i="6"/>
  <c r="BR54" i="6" s="1"/>
  <c r="BR20" i="6"/>
  <c r="AR31" i="6"/>
  <c r="AR66" i="6" s="1"/>
  <c r="AR10" i="6"/>
  <c r="AQ44" i="6"/>
  <c r="AQ83" i="6"/>
  <c r="AQ65" i="6"/>
  <c r="AQ18" i="6"/>
  <c r="AP52" i="6"/>
  <c r="BR52" i="6" s="1"/>
  <c r="AP91" i="6"/>
  <c r="BR91" i="6" s="1"/>
  <c r="BR18" i="6"/>
  <c r="AQ26" i="6"/>
  <c r="AQ35" i="6"/>
  <c r="AP99" i="6"/>
  <c r="BR99" i="6" s="1"/>
  <c r="AP60" i="6"/>
  <c r="BR60" i="6" s="1"/>
  <c r="BR26" i="6"/>
  <c r="AP70" i="6"/>
  <c r="BR70" i="6" s="1"/>
  <c r="BR35" i="6"/>
  <c r="AP94" i="6"/>
  <c r="BR94" i="6" s="1"/>
  <c r="AQ21" i="6"/>
  <c r="AP55" i="6"/>
  <c r="BR55" i="6" s="1"/>
  <c r="BR21" i="6"/>
  <c r="AQ12" i="6"/>
  <c r="AP46" i="6"/>
  <c r="BR46" i="6" s="1"/>
  <c r="AP85" i="6"/>
  <c r="BR85" i="6" s="1"/>
  <c r="BR12" i="6"/>
  <c r="AQ22" i="6"/>
  <c r="AP56" i="6"/>
  <c r="BR56" i="6" s="1"/>
  <c r="AP95" i="6"/>
  <c r="BR95" i="6" s="1"/>
  <c r="BR22" i="6"/>
  <c r="AP50" i="6"/>
  <c r="BR50" i="6" s="1"/>
  <c r="AP89" i="6"/>
  <c r="BR89" i="6" s="1"/>
  <c r="AQ16" i="6"/>
  <c r="BR16" i="6"/>
  <c r="AQ66" i="6"/>
  <c r="BR71" i="6" l="1"/>
  <c r="BR27" i="6"/>
  <c r="BR36" i="6"/>
  <c r="BR61" i="6"/>
  <c r="AQ36" i="6"/>
  <c r="AQ64" i="6" s="1"/>
  <c r="D9" i="8"/>
  <c r="D18" i="8" s="1"/>
  <c r="D21" i="8"/>
  <c r="BR73" i="6"/>
  <c r="D7" i="9"/>
  <c r="D7" i="8"/>
  <c r="E5" i="7"/>
  <c r="BR77" i="6"/>
  <c r="BS42" i="6"/>
  <c r="AO62" i="6"/>
  <c r="AO77" i="6"/>
  <c r="AO73" i="6"/>
  <c r="AO102" i="6" s="1"/>
  <c r="AO129" i="6" s="1"/>
  <c r="AP42" i="6"/>
  <c r="AP61" i="6" s="1"/>
  <c r="AO103" i="6"/>
  <c r="AQ91" i="6"/>
  <c r="AR18" i="6"/>
  <c r="AQ52" i="6"/>
  <c r="AQ86" i="6"/>
  <c r="AQ47" i="6"/>
  <c r="AR13" i="6"/>
  <c r="AN102" i="6"/>
  <c r="AN129" i="6" s="1"/>
  <c r="AN130" i="6" s="1"/>
  <c r="AP100" i="6"/>
  <c r="AQ81" i="6" s="1"/>
  <c r="AS10" i="6"/>
  <c r="AR44" i="6"/>
  <c r="AS31" i="6"/>
  <c r="AR83" i="6"/>
  <c r="AT11" i="6"/>
  <c r="AT32" i="6"/>
  <c r="AT67" i="6" s="1"/>
  <c r="AS45" i="6"/>
  <c r="AS84" i="6"/>
  <c r="AQ93" i="6"/>
  <c r="AR20" i="6"/>
  <c r="AQ54" i="6"/>
  <c r="AR65" i="6"/>
  <c r="AR35" i="6"/>
  <c r="AR70" i="6" s="1"/>
  <c r="AR26" i="6"/>
  <c r="AQ99" i="6"/>
  <c r="AQ60" i="6"/>
  <c r="AR24" i="6"/>
  <c r="AR33" i="6"/>
  <c r="AR68" i="6" s="1"/>
  <c r="AQ58" i="6"/>
  <c r="AQ97" i="6"/>
  <c r="BR100" i="6"/>
  <c r="AR22" i="6"/>
  <c r="AQ95" i="6"/>
  <c r="AQ56" i="6"/>
  <c r="AR34" i="6"/>
  <c r="AR69" i="6" s="1"/>
  <c r="AR25" i="6"/>
  <c r="AQ59" i="6"/>
  <c r="AQ98" i="6"/>
  <c r="AQ68" i="6"/>
  <c r="AQ50" i="6"/>
  <c r="AQ89" i="6"/>
  <c r="AR16" i="6"/>
  <c r="AQ49" i="6"/>
  <c r="AR15" i="6"/>
  <c r="AQ88" i="6"/>
  <c r="AR12" i="6"/>
  <c r="AQ46" i="6"/>
  <c r="AQ85" i="6"/>
  <c r="AS67" i="6"/>
  <c r="AR17" i="6"/>
  <c r="AQ51" i="6"/>
  <c r="AQ90" i="6"/>
  <c r="AQ27" i="6"/>
  <c r="AQ69" i="6"/>
  <c r="AQ87" i="6"/>
  <c r="AR14" i="6"/>
  <c r="AQ48" i="6"/>
  <c r="AS30" i="6"/>
  <c r="AR82" i="6"/>
  <c r="AS9" i="6"/>
  <c r="AR43" i="6"/>
  <c r="AP71" i="6"/>
  <c r="AR21" i="6"/>
  <c r="AQ94" i="6"/>
  <c r="AQ55" i="6"/>
  <c r="AR19" i="6"/>
  <c r="AQ53" i="6"/>
  <c r="AQ92" i="6"/>
  <c r="AQ70" i="6"/>
  <c r="AR23" i="6"/>
  <c r="AQ96" i="6"/>
  <c r="AQ57" i="6"/>
  <c r="AS44" i="6" l="1"/>
  <c r="AT10" i="6"/>
  <c r="AT31" i="6"/>
  <c r="AT66" i="6" s="1"/>
  <c r="AS83" i="6"/>
  <c r="AS17" i="6"/>
  <c r="AR90" i="6"/>
  <c r="AR51" i="6"/>
  <c r="AR96" i="6"/>
  <c r="AS23" i="6"/>
  <c r="AR57" i="6"/>
  <c r="AS13" i="6"/>
  <c r="AR86" i="6"/>
  <c r="AR47" i="6"/>
  <c r="AR49" i="6"/>
  <c r="AS15" i="6"/>
  <c r="AR88" i="6"/>
  <c r="AO130" i="6"/>
  <c r="AS22" i="6"/>
  <c r="AR95" i="6"/>
  <c r="AR56" i="6"/>
  <c r="AS12" i="6"/>
  <c r="AR46" i="6"/>
  <c r="AR85" i="6"/>
  <c r="AT30" i="6"/>
  <c r="AT9" i="6"/>
  <c r="AS82" i="6"/>
  <c r="AS43" i="6"/>
  <c r="AQ71" i="6"/>
  <c r="E6" i="7"/>
  <c r="E18" i="7"/>
  <c r="AS66" i="6"/>
  <c r="E8" i="7"/>
  <c r="D8" i="9" s="1"/>
  <c r="D9" i="9" s="1"/>
  <c r="D10" i="9" s="1"/>
  <c r="D10" i="8"/>
  <c r="D25" i="8" s="1"/>
  <c r="BS81" i="6"/>
  <c r="AS18" i="6"/>
  <c r="AR91" i="6"/>
  <c r="AR52" i="6"/>
  <c r="AP77" i="6"/>
  <c r="AP73" i="6"/>
  <c r="AP102" i="6" s="1"/>
  <c r="AP129" i="6" s="1"/>
  <c r="AP130" i="6" s="1"/>
  <c r="AP103" i="6"/>
  <c r="AP62" i="6"/>
  <c r="AQ42" i="6"/>
  <c r="AQ61" i="6" s="1"/>
  <c r="AS65" i="6"/>
  <c r="AR27" i="6"/>
  <c r="BR103" i="6"/>
  <c r="BR102" i="6"/>
  <c r="BR129" i="6" s="1"/>
  <c r="AQ100" i="6"/>
  <c r="AR81" i="6" s="1"/>
  <c r="AS19" i="6"/>
  <c r="AR53" i="6"/>
  <c r="AR92" i="6"/>
  <c r="AS20" i="6"/>
  <c r="AR93" i="6"/>
  <c r="AR54" i="6"/>
  <c r="AS25" i="6"/>
  <c r="AS34" i="6"/>
  <c r="AS69" i="6" s="1"/>
  <c r="AR98" i="6"/>
  <c r="AR59" i="6"/>
  <c r="AS14" i="6"/>
  <c r="AR87" i="6"/>
  <c r="AR48" i="6"/>
  <c r="AU11" i="6"/>
  <c r="AU32" i="6"/>
  <c r="AT84" i="6"/>
  <c r="AT45" i="6"/>
  <c r="D22" i="8"/>
  <c r="D23" i="8" s="1"/>
  <c r="D24" i="8" s="1"/>
  <c r="AS24" i="6"/>
  <c r="AS33" i="6"/>
  <c r="AS68" i="6" s="1"/>
  <c r="AR58" i="6"/>
  <c r="AR97" i="6"/>
  <c r="AS35" i="6"/>
  <c r="AS26" i="6"/>
  <c r="AR60" i="6"/>
  <c r="AR99" i="6"/>
  <c r="AS21" i="6"/>
  <c r="AR94" i="6"/>
  <c r="AR55" i="6"/>
  <c r="AR50" i="6"/>
  <c r="AR89" i="6"/>
  <c r="AS16" i="6"/>
  <c r="AR36" i="6"/>
  <c r="AR64" i="6" s="1"/>
  <c r="AR71" i="6" s="1"/>
  <c r="AS36" i="6" l="1"/>
  <c r="AS64" i="6" s="1"/>
  <c r="AR100" i="6"/>
  <c r="AS81" i="6" s="1"/>
  <c r="B31" i="10"/>
  <c r="E7" i="7"/>
  <c r="E11" i="7" s="1"/>
  <c r="E12" i="7" s="1"/>
  <c r="E19" i="7" s="1"/>
  <c r="E21" i="7" s="1"/>
  <c r="D13" i="9" s="1"/>
  <c r="D15" i="9" s="1"/>
  <c r="D31" i="10"/>
  <c r="AT15" i="6"/>
  <c r="AS49" i="6"/>
  <c r="AS88" i="6"/>
  <c r="AT65" i="6"/>
  <c r="AT13" i="6"/>
  <c r="AS86" i="6"/>
  <c r="AS47" i="6"/>
  <c r="AT21" i="6"/>
  <c r="AS94" i="6"/>
  <c r="AS55" i="6"/>
  <c r="AT25" i="6"/>
  <c r="AT34" i="6"/>
  <c r="AT69" i="6" s="1"/>
  <c r="AS59" i="6"/>
  <c r="AS98" i="6"/>
  <c r="AS87" i="6"/>
  <c r="AT14" i="6"/>
  <c r="AS48" i="6"/>
  <c r="AQ103" i="6"/>
  <c r="AQ77" i="6"/>
  <c r="AQ73" i="6"/>
  <c r="AR42" i="6"/>
  <c r="AR61" i="6" s="1"/>
  <c r="AQ62" i="6"/>
  <c r="AT20" i="6"/>
  <c r="AS93" i="6"/>
  <c r="AS54" i="6"/>
  <c r="AT18" i="6"/>
  <c r="AS91" i="6"/>
  <c r="AS52" i="6"/>
  <c r="AT24" i="6"/>
  <c r="AT33" i="6"/>
  <c r="AS58" i="6"/>
  <c r="AS97" i="6"/>
  <c r="AT19" i="6"/>
  <c r="AS53" i="6"/>
  <c r="AS92" i="6"/>
  <c r="AT22" i="6"/>
  <c r="AS95" i="6"/>
  <c r="AS56" i="6"/>
  <c r="AT16" i="6"/>
  <c r="AS50" i="6"/>
  <c r="AS89" i="6"/>
  <c r="AS27" i="6"/>
  <c r="AT35" i="6"/>
  <c r="AT70" i="6" s="1"/>
  <c r="AT26" i="6"/>
  <c r="AS60" i="6"/>
  <c r="AS99" i="6"/>
  <c r="AS96" i="6"/>
  <c r="AT23" i="6"/>
  <c r="AS57" i="6"/>
  <c r="AS70" i="6"/>
  <c r="AT12" i="6"/>
  <c r="AS46" i="6"/>
  <c r="AS85" i="6"/>
  <c r="D29" i="8"/>
  <c r="D32" i="8" s="1"/>
  <c r="D34" i="8" s="1"/>
  <c r="D33" i="8"/>
  <c r="D35" i="8" s="1"/>
  <c r="AU30" i="6"/>
  <c r="AU9" i="6"/>
  <c r="AT82" i="6"/>
  <c r="AT43" i="6"/>
  <c r="AU67" i="6"/>
  <c r="AV32" i="6"/>
  <c r="AV67" i="6" s="1"/>
  <c r="AV11" i="6"/>
  <c r="AU45" i="6"/>
  <c r="AU84" i="6"/>
  <c r="AS90" i="6"/>
  <c r="AT17" i="6"/>
  <c r="AS51" i="6"/>
  <c r="AU10" i="6"/>
  <c r="AT83" i="6"/>
  <c r="AU31" i="6"/>
  <c r="AU66" i="6" s="1"/>
  <c r="AT44" i="6"/>
  <c r="C31" i="10"/>
  <c r="AQ102" i="6" l="1"/>
  <c r="AQ129" i="6" s="1"/>
  <c r="AQ130" i="6" s="1"/>
  <c r="AS100" i="6"/>
  <c r="AT81" i="6" s="1"/>
  <c r="E13" i="7"/>
  <c r="E29" i="7" s="1"/>
  <c r="AR103" i="6"/>
  <c r="AR73" i="6"/>
  <c r="AR62" i="6"/>
  <c r="AS42" i="6"/>
  <c r="AS61" i="6" s="1"/>
  <c r="AR77" i="6"/>
  <c r="AU35" i="6"/>
  <c r="AU70" i="6" s="1"/>
  <c r="AU26" i="6"/>
  <c r="AT99" i="6"/>
  <c r="AT60" i="6"/>
  <c r="AT87" i="6"/>
  <c r="AU14" i="6"/>
  <c r="AT48" i="6"/>
  <c r="AU19" i="6"/>
  <c r="AT92" i="6"/>
  <c r="AT53" i="6"/>
  <c r="AT94" i="6"/>
  <c r="AU21" i="6"/>
  <c r="AT55" i="6"/>
  <c r="AU12" i="6"/>
  <c r="AT46" i="6"/>
  <c r="AT85" i="6"/>
  <c r="AU18" i="6"/>
  <c r="AT91" i="6"/>
  <c r="AT52" i="6"/>
  <c r="AU13" i="6"/>
  <c r="AT86" i="6"/>
  <c r="AT47" i="6"/>
  <c r="AT49" i="6"/>
  <c r="AU15" i="6"/>
  <c r="AT88" i="6"/>
  <c r="AU65" i="6"/>
  <c r="AU25" i="6"/>
  <c r="AU34" i="6"/>
  <c r="AU69" i="6" s="1"/>
  <c r="AT98" i="6"/>
  <c r="AT59" i="6"/>
  <c r="AT68" i="6"/>
  <c r="AU24" i="6"/>
  <c r="AU33" i="6"/>
  <c r="AU68" i="6" s="1"/>
  <c r="AT58" i="6"/>
  <c r="AT97" i="6"/>
  <c r="AU17" i="6"/>
  <c r="AT90" i="6"/>
  <c r="AT51" i="6"/>
  <c r="AW32" i="6"/>
  <c r="AW67" i="6" s="1"/>
  <c r="AW11" i="6"/>
  <c r="AV84" i="6"/>
  <c r="AV45" i="6"/>
  <c r="AU16" i="6"/>
  <c r="AT89" i="6"/>
  <c r="AT50" i="6"/>
  <c r="AV30" i="6"/>
  <c r="AU82" i="6"/>
  <c r="AV9" i="6"/>
  <c r="AU43" i="6"/>
  <c r="AU22" i="6"/>
  <c r="AT95" i="6"/>
  <c r="AT56" i="6"/>
  <c r="AV31" i="6"/>
  <c r="AU44" i="6"/>
  <c r="AV10" i="6"/>
  <c r="AU83" i="6"/>
  <c r="AT36" i="6"/>
  <c r="AT64" i="6" s="1"/>
  <c r="AT27" i="6"/>
  <c r="AS71" i="6"/>
  <c r="AT96" i="6"/>
  <c r="AU23" i="6"/>
  <c r="AT57" i="6"/>
  <c r="AT93" i="6"/>
  <c r="AU20" i="6"/>
  <c r="AT54" i="6"/>
  <c r="AT100" i="6" l="1"/>
  <c r="AU81" i="6" s="1"/>
  <c r="AT71" i="6"/>
  <c r="AU89" i="6"/>
  <c r="AV16" i="6"/>
  <c r="AU50" i="6"/>
  <c r="AR102" i="6"/>
  <c r="AR129" i="6" s="1"/>
  <c r="AR130" i="6" s="1"/>
  <c r="AU94" i="6"/>
  <c r="AV21" i="6"/>
  <c r="AU55" i="6"/>
  <c r="AV19" i="6"/>
  <c r="AU92" i="6"/>
  <c r="AU53" i="6"/>
  <c r="AU96" i="6"/>
  <c r="AV23" i="6"/>
  <c r="AU57" i="6"/>
  <c r="AU49" i="6"/>
  <c r="AV15" i="6"/>
  <c r="AU88" i="6"/>
  <c r="AV13" i="6"/>
  <c r="AU86" i="6"/>
  <c r="AU47" i="6"/>
  <c r="AV24" i="6"/>
  <c r="AV33" i="6"/>
  <c r="AV68" i="6" s="1"/>
  <c r="AU97" i="6"/>
  <c r="AU58" i="6"/>
  <c r="AX32" i="6"/>
  <c r="AW84" i="6"/>
  <c r="AX11" i="6"/>
  <c r="AW45" i="6"/>
  <c r="AV18" i="6"/>
  <c r="AU52" i="6"/>
  <c r="AU91" i="6"/>
  <c r="AV17" i="6"/>
  <c r="AU51" i="6"/>
  <c r="AU90" i="6"/>
  <c r="AW31" i="6"/>
  <c r="AW66" i="6" s="1"/>
  <c r="AV44" i="6"/>
  <c r="AW10" i="6"/>
  <c r="AV83" i="6"/>
  <c r="AV12" i="6"/>
  <c r="AU46" i="6"/>
  <c r="AU85" i="6"/>
  <c r="AV66" i="6"/>
  <c r="AV25" i="6"/>
  <c r="AV34" i="6"/>
  <c r="AV69" i="6" s="1"/>
  <c r="AU59" i="6"/>
  <c r="AU98" i="6"/>
  <c r="AV20" i="6"/>
  <c r="AU54" i="6"/>
  <c r="AU93" i="6"/>
  <c r="AV65" i="6"/>
  <c r="AU36" i="6"/>
  <c r="AU64" i="6" s="1"/>
  <c r="AU71" i="6" s="1"/>
  <c r="AV26" i="6"/>
  <c r="AV35" i="6"/>
  <c r="AV70" i="6" s="1"/>
  <c r="AU60" i="6"/>
  <c r="AU99" i="6"/>
  <c r="AS103" i="6"/>
  <c r="AS77" i="6"/>
  <c r="AT42" i="6"/>
  <c r="AT61" i="6" s="1"/>
  <c r="AS62" i="6"/>
  <c r="AS73" i="6"/>
  <c r="AS102" i="6" s="1"/>
  <c r="AS129" i="6" s="1"/>
  <c r="AU95" i="6"/>
  <c r="AV22" i="6"/>
  <c r="AU56" i="6"/>
  <c r="AU87" i="6"/>
  <c r="AV14" i="6"/>
  <c r="AU48" i="6"/>
  <c r="AU27" i="6"/>
  <c r="AV82" i="6"/>
  <c r="AW30" i="6"/>
  <c r="AV43" i="6"/>
  <c r="AW9" i="6"/>
  <c r="AS130" i="6" l="1"/>
  <c r="AV27" i="6"/>
  <c r="AX67" i="6"/>
  <c r="AW83" i="6"/>
  <c r="AX10" i="6"/>
  <c r="AW44" i="6"/>
  <c r="AX31" i="6"/>
  <c r="AX66" i="6" s="1"/>
  <c r="AW21" i="6"/>
  <c r="AV55" i="6"/>
  <c r="AV94" i="6"/>
  <c r="AV96" i="6"/>
  <c r="AV57" i="6"/>
  <c r="AW23" i="6"/>
  <c r="AV53" i="6"/>
  <c r="AW19" i="6"/>
  <c r="AV92" i="6"/>
  <c r="AU100" i="6"/>
  <c r="AV81" i="6" s="1"/>
  <c r="AW82" i="6"/>
  <c r="AX30" i="6"/>
  <c r="AX9" i="6"/>
  <c r="AW43" i="6"/>
  <c r="AW20" i="6"/>
  <c r="AV54" i="6"/>
  <c r="AV93" i="6"/>
  <c r="AW65" i="6"/>
  <c r="AV36" i="6"/>
  <c r="AV64" i="6" s="1"/>
  <c r="AV71" i="6" s="1"/>
  <c r="AY11" i="6"/>
  <c r="AY32" i="6"/>
  <c r="AY67" i="6" s="1"/>
  <c r="AX45" i="6"/>
  <c r="AX84" i="6"/>
  <c r="AW24" i="6"/>
  <c r="AW33" i="6"/>
  <c r="AV97" i="6"/>
  <c r="AV58" i="6"/>
  <c r="AW25" i="6"/>
  <c r="AW34" i="6"/>
  <c r="AW69" i="6" s="1"/>
  <c r="AV98" i="6"/>
  <c r="AV59" i="6"/>
  <c r="AW13" i="6"/>
  <c r="AV86" i="6"/>
  <c r="AV47" i="6"/>
  <c r="AW22" i="6"/>
  <c r="AV95" i="6"/>
  <c r="AV56" i="6"/>
  <c r="AT77" i="6"/>
  <c r="AU42" i="6"/>
  <c r="AU61" i="6" s="1"/>
  <c r="AT62" i="6"/>
  <c r="AT73" i="6"/>
  <c r="AT102" i="6" s="1"/>
  <c r="AT129" i="6" s="1"/>
  <c r="AT130" i="6" s="1"/>
  <c r="AT103" i="6"/>
  <c r="AV90" i="6"/>
  <c r="AW17" i="6"/>
  <c r="AV51" i="6"/>
  <c r="AW26" i="6"/>
  <c r="AW35" i="6"/>
  <c r="AV60" i="6"/>
  <c r="AV99" i="6"/>
  <c r="AW18" i="6"/>
  <c r="AV52" i="6"/>
  <c r="AV91" i="6"/>
  <c r="AV89" i="6"/>
  <c r="AW16" i="6"/>
  <c r="AV50" i="6"/>
  <c r="AV87" i="6"/>
  <c r="AV48" i="6"/>
  <c r="AW14" i="6"/>
  <c r="AV85" i="6"/>
  <c r="AW12" i="6"/>
  <c r="AV46" i="6"/>
  <c r="AV49" i="6"/>
  <c r="AW15" i="6"/>
  <c r="AV88" i="6"/>
  <c r="AW27" i="6" l="1"/>
  <c r="AV100" i="6"/>
  <c r="AW81" i="6" s="1"/>
  <c r="AW87" i="6"/>
  <c r="AX14" i="6"/>
  <c r="AW48" i="6"/>
  <c r="AX65" i="6"/>
  <c r="AW57" i="6"/>
  <c r="AX23" i="6"/>
  <c r="AW96" i="6"/>
  <c r="AX24" i="6"/>
  <c r="AX33" i="6"/>
  <c r="AX68" i="6" s="1"/>
  <c r="AW97" i="6"/>
  <c r="AW58" i="6"/>
  <c r="AW93" i="6"/>
  <c r="AX20" i="6"/>
  <c r="AW54" i="6"/>
  <c r="AX22" i="6"/>
  <c r="AW56" i="6"/>
  <c r="AW95" i="6"/>
  <c r="AW68" i="6"/>
  <c r="AX18" i="6"/>
  <c r="AW91" i="6"/>
  <c r="AW52" i="6"/>
  <c r="AW86" i="6"/>
  <c r="AX13" i="6"/>
  <c r="AW47" i="6"/>
  <c r="AX25" i="6"/>
  <c r="AX34" i="6"/>
  <c r="AX69" i="6" s="1"/>
  <c r="AW98" i="6"/>
  <c r="AW59" i="6"/>
  <c r="AW70" i="6"/>
  <c r="AZ11" i="6"/>
  <c r="AZ32" i="6"/>
  <c r="AZ67" i="6" s="1"/>
  <c r="AY45" i="6"/>
  <c r="AY84" i="6"/>
  <c r="AX17" i="6"/>
  <c r="AW90" i="6"/>
  <c r="AW51" i="6"/>
  <c r="AX12" i="6"/>
  <c r="AW46" i="6"/>
  <c r="AW85" i="6"/>
  <c r="AY9" i="6"/>
  <c r="AY30" i="6"/>
  <c r="AX82" i="6"/>
  <c r="AX43" i="6"/>
  <c r="AW89" i="6"/>
  <c r="AW50" i="6"/>
  <c r="AX16" i="6"/>
  <c r="AX19" i="6"/>
  <c r="AW53" i="6"/>
  <c r="AW92" i="6"/>
  <c r="AX26" i="6"/>
  <c r="AX35" i="6"/>
  <c r="AX70" i="6" s="1"/>
  <c r="AW99" i="6"/>
  <c r="AW60" i="6"/>
  <c r="AX21" i="6"/>
  <c r="AW55" i="6"/>
  <c r="AW94" i="6"/>
  <c r="AW36" i="6"/>
  <c r="AW64" i="6" s="1"/>
  <c r="AW49" i="6"/>
  <c r="AX15" i="6"/>
  <c r="AW88" i="6"/>
  <c r="AU103" i="6"/>
  <c r="AU73" i="6"/>
  <c r="AV42" i="6"/>
  <c r="AV61" i="6" s="1"/>
  <c r="AU62" i="6"/>
  <c r="AU77" i="6"/>
  <c r="AY10" i="6"/>
  <c r="AX44" i="6"/>
  <c r="AY31" i="6"/>
  <c r="AY66" i="6" s="1"/>
  <c r="AX83" i="6"/>
  <c r="AW100" i="6" l="1"/>
  <c r="AX81" i="6" s="1"/>
  <c r="AY65" i="6"/>
  <c r="AX85" i="6"/>
  <c r="AY12" i="6"/>
  <c r="AX46" i="6"/>
  <c r="AX49" i="6"/>
  <c r="AY15" i="6"/>
  <c r="AX88" i="6"/>
  <c r="AW71" i="6"/>
  <c r="AU102" i="6"/>
  <c r="AU129" i="6" s="1"/>
  <c r="AU130" i="6" s="1"/>
  <c r="AX93" i="6"/>
  <c r="AY20" i="6"/>
  <c r="AX54" i="6"/>
  <c r="AY44" i="6"/>
  <c r="AZ10" i="6"/>
  <c r="AZ31" i="6"/>
  <c r="AZ66" i="6" s="1"/>
  <c r="AY83" i="6"/>
  <c r="AY17" i="6"/>
  <c r="AX90" i="6"/>
  <c r="AX51" i="6"/>
  <c r="AY21" i="6"/>
  <c r="AX94" i="6"/>
  <c r="AX55" i="6"/>
  <c r="AY23" i="6"/>
  <c r="AX57" i="6"/>
  <c r="AX96" i="6"/>
  <c r="AX36" i="6"/>
  <c r="AX64" i="6" s="1"/>
  <c r="AX71" i="6" s="1"/>
  <c r="AX27" i="6"/>
  <c r="AZ9" i="6"/>
  <c r="AZ30" i="6"/>
  <c r="AY82" i="6"/>
  <c r="AY43" i="6"/>
  <c r="AX95" i="6"/>
  <c r="AY22" i="6"/>
  <c r="AX56" i="6"/>
  <c r="AY24" i="6"/>
  <c r="AY33" i="6"/>
  <c r="AY68" i="6" s="1"/>
  <c r="AX97" i="6"/>
  <c r="AX58" i="6"/>
  <c r="BA11" i="6"/>
  <c r="BA32" i="6"/>
  <c r="BA67" i="6" s="1"/>
  <c r="AZ45" i="6"/>
  <c r="AZ84" i="6"/>
  <c r="AY35" i="6"/>
  <c r="AY70" i="6" s="1"/>
  <c r="AY26" i="6"/>
  <c r="AX60" i="6"/>
  <c r="AX99" i="6"/>
  <c r="AY19" i="6"/>
  <c r="AX92" i="6"/>
  <c r="AX53" i="6"/>
  <c r="AX87" i="6"/>
  <c r="AY14" i="6"/>
  <c r="AX48" i="6"/>
  <c r="AY13" i="6"/>
  <c r="AX86" i="6"/>
  <c r="AX47" i="6"/>
  <c r="AY18" i="6"/>
  <c r="AX91" i="6"/>
  <c r="AX52" i="6"/>
  <c r="AW42" i="6"/>
  <c r="AW61" i="6" s="1"/>
  <c r="AV73" i="6"/>
  <c r="AV62" i="6"/>
  <c r="AV103" i="6"/>
  <c r="AV77" i="6"/>
  <c r="AX98" i="6"/>
  <c r="AY25" i="6"/>
  <c r="AY34" i="6"/>
  <c r="AY69" i="6" s="1"/>
  <c r="AX59" i="6"/>
  <c r="AY16" i="6"/>
  <c r="AX89" i="6"/>
  <c r="AX50" i="6"/>
  <c r="AY27" i="6" l="1"/>
  <c r="AX100" i="6"/>
  <c r="AY81" i="6" s="1"/>
  <c r="AZ23" i="6"/>
  <c r="AY96" i="6"/>
  <c r="AY57" i="6"/>
  <c r="AZ21" i="6"/>
  <c r="AY55" i="6"/>
  <c r="AY94" i="6"/>
  <c r="BB32" i="6"/>
  <c r="BB11" i="6"/>
  <c r="BA84" i="6"/>
  <c r="BA45" i="6"/>
  <c r="AZ17" i="6"/>
  <c r="AY51" i="6"/>
  <c r="AY90" i="6"/>
  <c r="BA31" i="6"/>
  <c r="BA66" i="6" s="1"/>
  <c r="AZ44" i="6"/>
  <c r="BA10" i="6"/>
  <c r="AZ83" i="6"/>
  <c r="AZ24" i="6"/>
  <c r="AZ33" i="6"/>
  <c r="AZ68" i="6" s="1"/>
  <c r="AY58" i="6"/>
  <c r="AY97" i="6"/>
  <c r="AZ22" i="6"/>
  <c r="AY56" i="6"/>
  <c r="AY95" i="6"/>
  <c r="AY100" i="6" s="1"/>
  <c r="AZ81" i="6" s="1"/>
  <c r="AZ15" i="6"/>
  <c r="AY49" i="6"/>
  <c r="AY88" i="6"/>
  <c r="AZ65" i="6"/>
  <c r="AY92" i="6"/>
  <c r="AZ19" i="6"/>
  <c r="AY53" i="6"/>
  <c r="AZ16" i="6"/>
  <c r="AY50" i="6"/>
  <c r="AY89" i="6"/>
  <c r="AZ34" i="6"/>
  <c r="AZ69" i="6" s="1"/>
  <c r="AZ25" i="6"/>
  <c r="AY98" i="6"/>
  <c r="AY59" i="6"/>
  <c r="AW103" i="6"/>
  <c r="AX42" i="6"/>
  <c r="AX61" i="6" s="1"/>
  <c r="AW77" i="6"/>
  <c r="AW73" i="6"/>
  <c r="AW62" i="6"/>
  <c r="BA9" i="6"/>
  <c r="BA30" i="6"/>
  <c r="AZ82" i="6"/>
  <c r="AZ43" i="6"/>
  <c r="AZ26" i="6"/>
  <c r="AZ35" i="6"/>
  <c r="AZ70" i="6" s="1"/>
  <c r="AY99" i="6"/>
  <c r="AY60" i="6"/>
  <c r="AY93" i="6"/>
  <c r="AZ20" i="6"/>
  <c r="AY54" i="6"/>
  <c r="AV102" i="6"/>
  <c r="AV129" i="6" s="1"/>
  <c r="AV130" i="6" s="1"/>
  <c r="AZ18" i="6"/>
  <c r="AY91" i="6"/>
  <c r="AY52" i="6"/>
  <c r="AZ13" i="6"/>
  <c r="AY86" i="6"/>
  <c r="AY47" i="6"/>
  <c r="AY36" i="6"/>
  <c r="AY64" i="6" s="1"/>
  <c r="AY71" i="6" s="1"/>
  <c r="AY87" i="6"/>
  <c r="AZ14" i="6"/>
  <c r="AY48" i="6"/>
  <c r="AZ12" i="6"/>
  <c r="AY46" i="6"/>
  <c r="AY85" i="6"/>
  <c r="AW102" i="6" l="1"/>
  <c r="AW129" i="6" s="1"/>
  <c r="AW130" i="6" s="1"/>
  <c r="BA65" i="6"/>
  <c r="BA17" i="6"/>
  <c r="AZ51" i="6"/>
  <c r="AZ90" i="6"/>
  <c r="BA44" i="6"/>
  <c r="BB31" i="6"/>
  <c r="BB10" i="6"/>
  <c r="BA83" i="6"/>
  <c r="BB67" i="6"/>
  <c r="BS67" i="6" s="1"/>
  <c r="BS32" i="6"/>
  <c r="BB9" i="6"/>
  <c r="BB30" i="6"/>
  <c r="BA43" i="6"/>
  <c r="BA82" i="6"/>
  <c r="BA33" i="6"/>
  <c r="BA68" i="6" s="1"/>
  <c r="BA24" i="6"/>
  <c r="AZ58" i="6"/>
  <c r="AZ97" i="6"/>
  <c r="BC11" i="6"/>
  <c r="BC32" i="6"/>
  <c r="BB84" i="6"/>
  <c r="BS84" i="6" s="1"/>
  <c r="BB45" i="6"/>
  <c r="BS45" i="6" s="1"/>
  <c r="BS11" i="6"/>
  <c r="BA26" i="6"/>
  <c r="BA35" i="6"/>
  <c r="BA70" i="6" s="1"/>
  <c r="AZ60" i="6"/>
  <c r="AZ99" i="6"/>
  <c r="AZ95" i="6"/>
  <c r="BA22" i="6"/>
  <c r="AZ56" i="6"/>
  <c r="AX103" i="6"/>
  <c r="AY42" i="6"/>
  <c r="AY61" i="6" s="1"/>
  <c r="AX62" i="6"/>
  <c r="AX77" i="6"/>
  <c r="AX73" i="6"/>
  <c r="AX102" i="6" s="1"/>
  <c r="AX129" i="6" s="1"/>
  <c r="AX130" i="6" s="1"/>
  <c r="AZ87" i="6"/>
  <c r="AZ48" i="6"/>
  <c r="BA14" i="6"/>
  <c r="BA34" i="6"/>
  <c r="BA69" i="6" s="1"/>
  <c r="AZ98" i="6"/>
  <c r="BA25" i="6"/>
  <c r="AZ59" i="6"/>
  <c r="BA13" i="6"/>
  <c r="AZ47" i="6"/>
  <c r="AZ86" i="6"/>
  <c r="AZ92" i="6"/>
  <c r="AZ53" i="6"/>
  <c r="BA19" i="6"/>
  <c r="AZ93" i="6"/>
  <c r="BA20" i="6"/>
  <c r="AZ54" i="6"/>
  <c r="BA21" i="6"/>
  <c r="AZ94" i="6"/>
  <c r="AZ55" i="6"/>
  <c r="AZ36" i="6"/>
  <c r="AZ64" i="6" s="1"/>
  <c r="AZ71" i="6" s="1"/>
  <c r="BA15" i="6"/>
  <c r="AZ49" i="6"/>
  <c r="AZ88" i="6"/>
  <c r="AZ27" i="6"/>
  <c r="BA12" i="6"/>
  <c r="AZ85" i="6"/>
  <c r="AZ46" i="6"/>
  <c r="BA16" i="6"/>
  <c r="AZ89" i="6"/>
  <c r="AZ50" i="6"/>
  <c r="AZ91" i="6"/>
  <c r="BA18" i="6"/>
  <c r="AZ52" i="6"/>
  <c r="AZ96" i="6"/>
  <c r="BA23" i="6"/>
  <c r="AZ57" i="6"/>
  <c r="AZ100" i="6" l="1"/>
  <c r="BA81" i="6" s="1"/>
  <c r="BA93" i="6"/>
  <c r="BB20" i="6"/>
  <c r="BA54" i="6"/>
  <c r="BB33" i="6"/>
  <c r="BB24" i="6"/>
  <c r="BA58" i="6"/>
  <c r="BA97" i="6"/>
  <c r="BB65" i="6"/>
  <c r="BS65" i="6" s="1"/>
  <c r="BS30" i="6"/>
  <c r="BA92" i="6"/>
  <c r="BA53" i="6"/>
  <c r="BB19" i="6"/>
  <c r="BB43" i="6"/>
  <c r="BS43" i="6" s="1"/>
  <c r="BC9" i="6"/>
  <c r="BC30" i="6"/>
  <c r="BB82" i="6"/>
  <c r="BS9" i="6"/>
  <c r="BB66" i="6"/>
  <c r="BS66" i="6" s="1"/>
  <c r="BS31" i="6"/>
  <c r="BB26" i="6"/>
  <c r="BB35" i="6"/>
  <c r="BA99" i="6"/>
  <c r="BA60" i="6"/>
  <c r="BD11" i="6"/>
  <c r="BD32" i="6"/>
  <c r="BD67" i="6" s="1"/>
  <c r="BC45" i="6"/>
  <c r="BC84" i="6"/>
  <c r="BB21" i="6"/>
  <c r="BA94" i="6"/>
  <c r="BA55" i="6"/>
  <c r="BC67" i="6"/>
  <c r="BB13" i="6"/>
  <c r="BA47" i="6"/>
  <c r="BA86" i="6"/>
  <c r="BA98" i="6"/>
  <c r="BB34" i="6"/>
  <c r="BB25" i="6"/>
  <c r="BA59" i="6"/>
  <c r="BA27" i="6"/>
  <c r="BB16" i="6"/>
  <c r="BA50" i="6"/>
  <c r="BA89" i="6"/>
  <c r="AZ42" i="6"/>
  <c r="AZ61" i="6" s="1"/>
  <c r="AY77" i="6"/>
  <c r="AY62" i="6"/>
  <c r="AY73" i="6"/>
  <c r="AY102" i="6" s="1"/>
  <c r="AY129" i="6" s="1"/>
  <c r="AY130" i="6" s="1"/>
  <c r="AY103" i="6"/>
  <c r="BA36" i="6"/>
  <c r="BA64" i="6" s="1"/>
  <c r="BA71" i="6" s="1"/>
  <c r="BB23" i="6"/>
  <c r="BA96" i="6"/>
  <c r="BA57" i="6"/>
  <c r="BB18" i="6"/>
  <c r="BA91" i="6"/>
  <c r="BA52" i="6"/>
  <c r="BA87" i="6"/>
  <c r="BB14" i="6"/>
  <c r="BA48" i="6"/>
  <c r="BB83" i="6"/>
  <c r="BS83" i="6" s="1"/>
  <c r="BB44" i="6"/>
  <c r="BS44" i="6" s="1"/>
  <c r="BC31" i="6"/>
  <c r="BC10" i="6"/>
  <c r="BS10" i="6"/>
  <c r="BA85" i="6"/>
  <c r="BB12" i="6"/>
  <c r="BA46" i="6"/>
  <c r="BB22" i="6"/>
  <c r="BA56" i="6"/>
  <c r="BA95" i="6"/>
  <c r="BA49" i="6"/>
  <c r="BB15" i="6"/>
  <c r="BA88" i="6"/>
  <c r="BB17" i="6"/>
  <c r="BA51" i="6"/>
  <c r="BA90" i="6"/>
  <c r="BB27" i="6" l="1"/>
  <c r="BA100" i="6"/>
  <c r="BB81" i="6" s="1"/>
  <c r="AZ77" i="6"/>
  <c r="BA42" i="6"/>
  <c r="BA61" i="6" s="1"/>
  <c r="AZ73" i="6"/>
  <c r="AZ102" i="6" s="1"/>
  <c r="AZ129" i="6" s="1"/>
  <c r="AZ130" i="6" s="1"/>
  <c r="AZ62" i="6"/>
  <c r="AZ103" i="6"/>
  <c r="BE32" i="6"/>
  <c r="BE11" i="6"/>
  <c r="BD45" i="6"/>
  <c r="BD84" i="6"/>
  <c r="BC65" i="6"/>
  <c r="BB92" i="6"/>
  <c r="BS92" i="6" s="1"/>
  <c r="BC19" i="6"/>
  <c r="BB53" i="6"/>
  <c r="BS53" i="6" s="1"/>
  <c r="BS19" i="6"/>
  <c r="BC21" i="6"/>
  <c r="BB94" i="6"/>
  <c r="BS94" i="6" s="1"/>
  <c r="BB55" i="6"/>
  <c r="BS55" i="6" s="1"/>
  <c r="BS21" i="6"/>
  <c r="BB70" i="6"/>
  <c r="BS70" i="6" s="1"/>
  <c r="BS35" i="6"/>
  <c r="BB49" i="6"/>
  <c r="BS49" i="6" s="1"/>
  <c r="BC15" i="6"/>
  <c r="BB88" i="6"/>
  <c r="BS88" i="6" s="1"/>
  <c r="BS15" i="6"/>
  <c r="BC16" i="6"/>
  <c r="BB50" i="6"/>
  <c r="BS50" i="6" s="1"/>
  <c r="BB89" i="6"/>
  <c r="BS89" i="6" s="1"/>
  <c r="BS16" i="6"/>
  <c r="BB85" i="6"/>
  <c r="BS85" i="6" s="1"/>
  <c r="BC12" i="6"/>
  <c r="BB46" i="6"/>
  <c r="BS46" i="6" s="1"/>
  <c r="BS12" i="6"/>
  <c r="BC66" i="6"/>
  <c r="BC26" i="6"/>
  <c r="BC35" i="6"/>
  <c r="BB99" i="6"/>
  <c r="BS99" i="6" s="1"/>
  <c r="BB60" i="6"/>
  <c r="BS60" i="6" s="1"/>
  <c r="BS26" i="6"/>
  <c r="BD30" i="6"/>
  <c r="BD9" i="6"/>
  <c r="BC43" i="6"/>
  <c r="BC82" i="6"/>
  <c r="BC22" i="6"/>
  <c r="BB56" i="6"/>
  <c r="BS56" i="6" s="1"/>
  <c r="BB95" i="6"/>
  <c r="BS95" i="6" s="1"/>
  <c r="BS22" i="6"/>
  <c r="BB98" i="6"/>
  <c r="BS98" i="6" s="1"/>
  <c r="BC25" i="6"/>
  <c r="BC34" i="6"/>
  <c r="BB59" i="6"/>
  <c r="BS59" i="6" s="1"/>
  <c r="BS25" i="6"/>
  <c r="BB69" i="6"/>
  <c r="BS69" i="6" s="1"/>
  <c r="BS34" i="6"/>
  <c r="BD10" i="6"/>
  <c r="BC44" i="6"/>
  <c r="BD31" i="6"/>
  <c r="BD66" i="6" s="1"/>
  <c r="BC83" i="6"/>
  <c r="BC13" i="6"/>
  <c r="BB86" i="6"/>
  <c r="BS86" i="6" s="1"/>
  <c r="BB47" i="6"/>
  <c r="BS47" i="6" s="1"/>
  <c r="BS13" i="6"/>
  <c r="BB87" i="6"/>
  <c r="BS87" i="6" s="1"/>
  <c r="BC14" i="6"/>
  <c r="BB48" i="6"/>
  <c r="BS48" i="6" s="1"/>
  <c r="BS14" i="6"/>
  <c r="BB93" i="6"/>
  <c r="BS93" i="6" s="1"/>
  <c r="BC20" i="6"/>
  <c r="BB54" i="6"/>
  <c r="BS54" i="6" s="1"/>
  <c r="BS20" i="6"/>
  <c r="BC23" i="6"/>
  <c r="BB57" i="6"/>
  <c r="BS57" i="6" s="1"/>
  <c r="BB96" i="6"/>
  <c r="BS96" i="6" s="1"/>
  <c r="BS23" i="6"/>
  <c r="BC17" i="6"/>
  <c r="BB90" i="6"/>
  <c r="BS90" i="6" s="1"/>
  <c r="BB51" i="6"/>
  <c r="BS51" i="6" s="1"/>
  <c r="BS17" i="6"/>
  <c r="BS82" i="6"/>
  <c r="BB36" i="6"/>
  <c r="BB64" i="6" s="1"/>
  <c r="BB97" i="6"/>
  <c r="BS97" i="6" s="1"/>
  <c r="BC24" i="6"/>
  <c r="BC33" i="6"/>
  <c r="BB58" i="6"/>
  <c r="BS58" i="6" s="1"/>
  <c r="BS24" i="6"/>
  <c r="BB68" i="6"/>
  <c r="BS68" i="6" s="1"/>
  <c r="BS33" i="6"/>
  <c r="BC18" i="6"/>
  <c r="BB91" i="6"/>
  <c r="BS91" i="6" s="1"/>
  <c r="BB52" i="6"/>
  <c r="BS52" i="6" s="1"/>
  <c r="BS18" i="6"/>
  <c r="BS27" i="6" l="1"/>
  <c r="BS71" i="6"/>
  <c r="BS61" i="6"/>
  <c r="BS36" i="6"/>
  <c r="BS73" i="6"/>
  <c r="E7" i="9"/>
  <c r="E7" i="8"/>
  <c r="F5" i="7"/>
  <c r="BS77" i="6"/>
  <c r="BT42" i="6"/>
  <c r="E9" i="8"/>
  <c r="E18" i="8" s="1"/>
  <c r="E21" i="8"/>
  <c r="BD23" i="6"/>
  <c r="BC57" i="6"/>
  <c r="BC96" i="6"/>
  <c r="BC93" i="6"/>
  <c r="BD20" i="6"/>
  <c r="BC54" i="6"/>
  <c r="BE30" i="6"/>
  <c r="BE9" i="6"/>
  <c r="BD82" i="6"/>
  <c r="BD43" i="6"/>
  <c r="BD18" i="6"/>
  <c r="BC52" i="6"/>
  <c r="BC91" i="6"/>
  <c r="BC70" i="6"/>
  <c r="BC86" i="6"/>
  <c r="BC47" i="6"/>
  <c r="BD13" i="6"/>
  <c r="BD24" i="6"/>
  <c r="BD33" i="6"/>
  <c r="BD68" i="6" s="1"/>
  <c r="BC58" i="6"/>
  <c r="BC97" i="6"/>
  <c r="BB100" i="6"/>
  <c r="BC81" i="6" s="1"/>
  <c r="BE67" i="6"/>
  <c r="BD15" i="6"/>
  <c r="BC49" i="6"/>
  <c r="BC88" i="6"/>
  <c r="BD22" i="6"/>
  <c r="BC95" i="6"/>
  <c r="BC56" i="6"/>
  <c r="BC92" i="6"/>
  <c r="BD19" i="6"/>
  <c r="BC53" i="6"/>
  <c r="BC46" i="6"/>
  <c r="BC85" i="6"/>
  <c r="BD12" i="6"/>
  <c r="BD16" i="6"/>
  <c r="BC50" i="6"/>
  <c r="BC89" i="6"/>
  <c r="BD21" i="6"/>
  <c r="BC94" i="6"/>
  <c r="BC55" i="6"/>
  <c r="BC27" i="6"/>
  <c r="BC87" i="6"/>
  <c r="BD14" i="6"/>
  <c r="BC48" i="6"/>
  <c r="BC68" i="6"/>
  <c r="BD26" i="6"/>
  <c r="BD35" i="6"/>
  <c r="BD70" i="6" s="1"/>
  <c r="BC60" i="6"/>
  <c r="BC99" i="6"/>
  <c r="BB71" i="6"/>
  <c r="BE31" i="6"/>
  <c r="BD83" i="6"/>
  <c r="BD44" i="6"/>
  <c r="BE10" i="6"/>
  <c r="BD17" i="6"/>
  <c r="BC51" i="6"/>
  <c r="BC90" i="6"/>
  <c r="BC69" i="6"/>
  <c r="BD65" i="6"/>
  <c r="BC36" i="6"/>
  <c r="BC64" i="6" s="1"/>
  <c r="BS100" i="6"/>
  <c r="BF11" i="6"/>
  <c r="BF32" i="6"/>
  <c r="BF67" i="6" s="1"/>
  <c r="BE45" i="6"/>
  <c r="BE84" i="6"/>
  <c r="BA77" i="6"/>
  <c r="BA103" i="6"/>
  <c r="BB42" i="6"/>
  <c r="BB61" i="6" s="1"/>
  <c r="BA62" i="6"/>
  <c r="BA73" i="6"/>
  <c r="BA102" i="6" s="1"/>
  <c r="BA129" i="6" s="1"/>
  <c r="BA130" i="6" s="1"/>
  <c r="BD34" i="6"/>
  <c r="BD69" i="6" s="1"/>
  <c r="BD25" i="6"/>
  <c r="BC59" i="6"/>
  <c r="BC98" i="6"/>
  <c r="BE34" i="6" l="1"/>
  <c r="BE69" i="6" s="1"/>
  <c r="BE25" i="6"/>
  <c r="BD59" i="6"/>
  <c r="BD98" i="6"/>
  <c r="BE26" i="6"/>
  <c r="BE35" i="6"/>
  <c r="BD60" i="6"/>
  <c r="BD99" i="6"/>
  <c r="BE15" i="6"/>
  <c r="BD49" i="6"/>
  <c r="BD88" i="6"/>
  <c r="BD93" i="6"/>
  <c r="BE20" i="6"/>
  <c r="BD54" i="6"/>
  <c r="F8" i="7"/>
  <c r="E8" i="9" s="1"/>
  <c r="E10" i="8"/>
  <c r="BT81" i="6"/>
  <c r="BE21" i="6"/>
  <c r="BD55" i="6"/>
  <c r="BD94" i="6"/>
  <c r="BD92" i="6"/>
  <c r="BE19" i="6"/>
  <c r="BD53" i="6"/>
  <c r="BF9" i="6"/>
  <c r="BF30" i="6"/>
  <c r="BE82" i="6"/>
  <c r="BE43" i="6"/>
  <c r="BE65" i="6"/>
  <c r="BD36" i="6"/>
  <c r="BD64" i="6" s="1"/>
  <c r="BD71" i="6" s="1"/>
  <c r="BD87" i="6"/>
  <c r="BE14" i="6"/>
  <c r="BD48" i="6"/>
  <c r="BD95" i="6"/>
  <c r="BE22" i="6"/>
  <c r="BD56" i="6"/>
  <c r="BB73" i="6"/>
  <c r="BC42" i="6"/>
  <c r="BC61" i="6" s="1"/>
  <c r="BB77" i="6"/>
  <c r="BB103" i="6"/>
  <c r="BB62" i="6"/>
  <c r="BD97" i="6"/>
  <c r="BE24" i="6"/>
  <c r="BE33" i="6"/>
  <c r="BD58" i="6"/>
  <c r="BE16" i="6"/>
  <c r="BD89" i="6"/>
  <c r="BD50" i="6"/>
  <c r="BE12" i="6"/>
  <c r="BD46" i="6"/>
  <c r="BD85" i="6"/>
  <c r="BC100" i="6"/>
  <c r="BD81" i="6" s="1"/>
  <c r="F18" i="7"/>
  <c r="F6" i="7"/>
  <c r="F7" i="7" s="1"/>
  <c r="F11" i="7" s="1"/>
  <c r="BE17" i="6"/>
  <c r="BD51" i="6"/>
  <c r="BD90" i="6"/>
  <c r="BD86" i="6"/>
  <c r="BE13" i="6"/>
  <c r="BD47" i="6"/>
  <c r="BE83" i="6"/>
  <c r="BE44" i="6"/>
  <c r="BF31" i="6"/>
  <c r="BF66" i="6" s="1"/>
  <c r="BF10" i="6"/>
  <c r="BS103" i="6"/>
  <c r="BS102" i="6"/>
  <c r="BS129" i="6" s="1"/>
  <c r="BE66" i="6"/>
  <c r="BE18" i="6"/>
  <c r="BD91" i="6"/>
  <c r="BD52" i="6"/>
  <c r="BD27" i="6"/>
  <c r="BG32" i="6"/>
  <c r="BG67" i="6" s="1"/>
  <c r="BG11" i="6"/>
  <c r="BF45" i="6"/>
  <c r="BF84" i="6"/>
  <c r="BC71" i="6"/>
  <c r="BE23" i="6"/>
  <c r="BD96" i="6"/>
  <c r="BD57" i="6"/>
  <c r="E22" i="8"/>
  <c r="E23" i="8" s="1"/>
  <c r="E24" i="8" s="1"/>
  <c r="E25" i="8"/>
  <c r="E9" i="9"/>
  <c r="E10" i="9" s="1"/>
  <c r="BE27" i="6" l="1"/>
  <c r="F12" i="7"/>
  <c r="F19" i="7" s="1"/>
  <c r="F21" i="7" s="1"/>
  <c r="E13" i="9" s="1"/>
  <c r="E15" i="9" s="1"/>
  <c r="F13" i="7"/>
  <c r="F29" i="7" s="1"/>
  <c r="BE93" i="6"/>
  <c r="BF20" i="6"/>
  <c r="BE54" i="6"/>
  <c r="E29" i="8"/>
  <c r="E32" i="8" s="1"/>
  <c r="E34" i="8" s="1"/>
  <c r="E33" i="8"/>
  <c r="E35" i="8" s="1"/>
  <c r="BF15" i="6"/>
  <c r="BE49" i="6"/>
  <c r="BE88" i="6"/>
  <c r="BF65" i="6"/>
  <c r="BG30" i="6"/>
  <c r="BF43" i="6"/>
  <c r="BG9" i="6"/>
  <c r="BF82" i="6"/>
  <c r="C32" i="10"/>
  <c r="D32" i="10"/>
  <c r="BE68" i="6"/>
  <c r="BE36" i="6"/>
  <c r="BE64" i="6" s="1"/>
  <c r="BE86" i="6"/>
  <c r="BF13" i="6"/>
  <c r="BE47" i="6"/>
  <c r="BE70" i="6"/>
  <c r="BH11" i="6"/>
  <c r="BH32" i="6"/>
  <c r="BH67" i="6" s="1"/>
  <c r="BG84" i="6"/>
  <c r="BG45" i="6"/>
  <c r="BB102" i="6"/>
  <c r="BB129" i="6" s="1"/>
  <c r="BB130" i="6" s="1"/>
  <c r="BF35" i="6"/>
  <c r="BF70" i="6" s="1"/>
  <c r="BF26" i="6"/>
  <c r="BE99" i="6"/>
  <c r="BE60" i="6"/>
  <c r="BF18" i="6"/>
  <c r="BE91" i="6"/>
  <c r="BE52" i="6"/>
  <c r="BF14" i="6"/>
  <c r="BE87" i="6"/>
  <c r="BE48" i="6"/>
  <c r="BF12" i="6"/>
  <c r="BE46" i="6"/>
  <c r="BE85" i="6"/>
  <c r="BE97" i="6"/>
  <c r="BF24" i="6"/>
  <c r="BF33" i="6"/>
  <c r="BF68" i="6" s="1"/>
  <c r="BE58" i="6"/>
  <c r="BF44" i="6"/>
  <c r="BG31" i="6"/>
  <c r="BG66" i="6" s="1"/>
  <c r="BG10" i="6"/>
  <c r="BF83" i="6"/>
  <c r="BE96" i="6"/>
  <c r="BF23" i="6"/>
  <c r="BE57" i="6"/>
  <c r="BF17" i="6"/>
  <c r="BE90" i="6"/>
  <c r="BE51" i="6"/>
  <c r="BF21" i="6"/>
  <c r="BE55" i="6"/>
  <c r="BE94" i="6"/>
  <c r="BC73" i="6"/>
  <c r="BD42" i="6"/>
  <c r="BD61" i="6" s="1"/>
  <c r="BC103" i="6"/>
  <c r="BC77" i="6"/>
  <c r="BC62" i="6"/>
  <c r="BE53" i="6"/>
  <c r="BE92" i="6"/>
  <c r="BF19" i="6"/>
  <c r="B32" i="10"/>
  <c r="BF22" i="6"/>
  <c r="BE95" i="6"/>
  <c r="BE56" i="6"/>
  <c r="BD100" i="6"/>
  <c r="BE81" i="6" s="1"/>
  <c r="BF25" i="6"/>
  <c r="BF34" i="6"/>
  <c r="BE59" i="6"/>
  <c r="BE98" i="6"/>
  <c r="BF16" i="6"/>
  <c r="BE89" i="6"/>
  <c r="BE50" i="6"/>
  <c r="BF27" i="6" l="1"/>
  <c r="B21" i="9"/>
  <c r="BG20" i="6"/>
  <c r="BF54" i="6"/>
  <c r="BF93" i="6"/>
  <c r="BI32" i="6"/>
  <c r="BI67" i="6" s="1"/>
  <c r="BI11" i="6"/>
  <c r="BH84" i="6"/>
  <c r="BH45" i="6"/>
  <c r="BH10" i="6"/>
  <c r="BG83" i="6"/>
  <c r="BH31" i="6"/>
  <c r="BH66" i="6" s="1"/>
  <c r="BG44" i="6"/>
  <c r="BG65" i="6"/>
  <c r="BD103" i="6"/>
  <c r="BD62" i="6"/>
  <c r="BD77" i="6"/>
  <c r="BE42" i="6"/>
  <c r="BE61" i="6" s="1"/>
  <c r="BD73" i="6"/>
  <c r="BD102" i="6" s="1"/>
  <c r="BD129" i="6" s="1"/>
  <c r="BD130" i="6" s="1"/>
  <c r="BG14" i="6"/>
  <c r="BF48" i="6"/>
  <c r="BF87" i="6"/>
  <c r="BG35" i="6"/>
  <c r="BG26" i="6"/>
  <c r="BF60" i="6"/>
  <c r="BF99" i="6"/>
  <c r="BF47" i="6"/>
  <c r="BG13" i="6"/>
  <c r="BF86" i="6"/>
  <c r="BC102" i="6"/>
  <c r="BC129" i="6" s="1"/>
  <c r="BC130" i="6" s="1"/>
  <c r="BF36" i="6"/>
  <c r="BF64" i="6" s="1"/>
  <c r="BF90" i="6"/>
  <c r="BG17" i="6"/>
  <c r="BF51" i="6"/>
  <c r="BG15" i="6"/>
  <c r="BF49" i="6"/>
  <c r="BF88" i="6"/>
  <c r="BE71" i="6"/>
  <c r="BG12" i="6"/>
  <c r="BF85" i="6"/>
  <c r="BF46" i="6"/>
  <c r="BG21" i="6"/>
  <c r="BF55" i="6"/>
  <c r="BF94" i="6"/>
  <c r="BH30" i="6"/>
  <c r="BG82" i="6"/>
  <c r="BH9" i="6"/>
  <c r="BG43" i="6"/>
  <c r="BF50" i="6"/>
  <c r="BG16" i="6"/>
  <c r="BF89" i="6"/>
  <c r="BF96" i="6"/>
  <c r="BG23" i="6"/>
  <c r="BF57" i="6"/>
  <c r="BF69" i="6"/>
  <c r="BG25" i="6"/>
  <c r="BG34" i="6"/>
  <c r="BG69" i="6" s="1"/>
  <c r="BF98" i="6"/>
  <c r="BF59" i="6"/>
  <c r="BG22" i="6"/>
  <c r="BF95" i="6"/>
  <c r="BF56" i="6"/>
  <c r="BF53" i="6"/>
  <c r="BG19" i="6"/>
  <c r="BF92" i="6"/>
  <c r="BG24" i="6"/>
  <c r="BG33" i="6"/>
  <c r="BG68" i="6" s="1"/>
  <c r="BF97" i="6"/>
  <c r="BF58" i="6"/>
  <c r="BG18" i="6"/>
  <c r="BF91" i="6"/>
  <c r="BF52" i="6"/>
  <c r="BE100" i="6"/>
  <c r="BF81" i="6" s="1"/>
  <c r="BF100" i="6" l="1"/>
  <c r="BG81" i="6" s="1"/>
  <c r="BG53" i="6"/>
  <c r="BH19" i="6"/>
  <c r="BG92" i="6"/>
  <c r="BG86" i="6"/>
  <c r="BG47" i="6"/>
  <c r="BH13" i="6"/>
  <c r="BJ32" i="6"/>
  <c r="BJ67" i="6" s="1"/>
  <c r="BJ11" i="6"/>
  <c r="BI84" i="6"/>
  <c r="BI45" i="6"/>
  <c r="BH14" i="6"/>
  <c r="BG87" i="6"/>
  <c r="BG48" i="6"/>
  <c r="BE103" i="6"/>
  <c r="BE62" i="6"/>
  <c r="BE77" i="6"/>
  <c r="BF42" i="6"/>
  <c r="BF61" i="6" s="1"/>
  <c r="BE73" i="6"/>
  <c r="BE102" i="6" s="1"/>
  <c r="BE129" i="6" s="1"/>
  <c r="BE130" i="6" s="1"/>
  <c r="BH21" i="6"/>
  <c r="BG94" i="6"/>
  <c r="BG55" i="6"/>
  <c r="BG49" i="6"/>
  <c r="BH15" i="6"/>
  <c r="BG88" i="6"/>
  <c r="BH18" i="6"/>
  <c r="BG52" i="6"/>
  <c r="BG91" i="6"/>
  <c r="BI31" i="6"/>
  <c r="BI10" i="6"/>
  <c r="BH44" i="6"/>
  <c r="BH83" i="6"/>
  <c r="BH12" i="6"/>
  <c r="BG46" i="6"/>
  <c r="BG85" i="6"/>
  <c r="BH23" i="6"/>
  <c r="BG96" i="6"/>
  <c r="BG57" i="6"/>
  <c r="BG36" i="6"/>
  <c r="BG64" i="6" s="1"/>
  <c r="BF71" i="6"/>
  <c r="BI30" i="6"/>
  <c r="BI9" i="6"/>
  <c r="BH82" i="6"/>
  <c r="BH43" i="6"/>
  <c r="BG70" i="6"/>
  <c r="BG93" i="6"/>
  <c r="BH20" i="6"/>
  <c r="BG54" i="6"/>
  <c r="BH16" i="6"/>
  <c r="BG50" i="6"/>
  <c r="BG89" i="6"/>
  <c r="BG27" i="6"/>
  <c r="BH65" i="6"/>
  <c r="BH36" i="6"/>
  <c r="BH64" i="6" s="1"/>
  <c r="BH71" i="6" s="1"/>
  <c r="BH22" i="6"/>
  <c r="BG56" i="6"/>
  <c r="BG95" i="6"/>
  <c r="BH35" i="6"/>
  <c r="BH70" i="6" s="1"/>
  <c r="BH26" i="6"/>
  <c r="BG60" i="6"/>
  <c r="BG99" i="6"/>
  <c r="BH34" i="6"/>
  <c r="BH69" i="6" s="1"/>
  <c r="BH25" i="6"/>
  <c r="BG59" i="6"/>
  <c r="BG98" i="6"/>
  <c r="BH17" i="6"/>
  <c r="BG51" i="6"/>
  <c r="BG90" i="6"/>
  <c r="BH33" i="6"/>
  <c r="BH68" i="6" s="1"/>
  <c r="BH24" i="6"/>
  <c r="BG58" i="6"/>
  <c r="BG97" i="6"/>
  <c r="BG100" i="6" l="1"/>
  <c r="BH81" i="6" s="1"/>
  <c r="BI12" i="6"/>
  <c r="BH46" i="6"/>
  <c r="BH85" i="6"/>
  <c r="BI17" i="6"/>
  <c r="BH90" i="6"/>
  <c r="BH51" i="6"/>
  <c r="BH27" i="6"/>
  <c r="BI65" i="6"/>
  <c r="BI23" i="6"/>
  <c r="BH96" i="6"/>
  <c r="BH57" i="6"/>
  <c r="BH87" i="6"/>
  <c r="BI14" i="6"/>
  <c r="BH48" i="6"/>
  <c r="BI33" i="6"/>
  <c r="BI24" i="6"/>
  <c r="BH58" i="6"/>
  <c r="BH97" i="6"/>
  <c r="BH49" i="6"/>
  <c r="BI15" i="6"/>
  <c r="BH88" i="6"/>
  <c r="BH98" i="6"/>
  <c r="BI34" i="6"/>
  <c r="BI25" i="6"/>
  <c r="BH59" i="6"/>
  <c r="BJ31" i="6"/>
  <c r="BJ66" i="6" s="1"/>
  <c r="BI83" i="6"/>
  <c r="BJ10" i="6"/>
  <c r="BI44" i="6"/>
  <c r="BK32" i="6"/>
  <c r="BK67" i="6" s="1"/>
  <c r="BK11" i="6"/>
  <c r="BJ45" i="6"/>
  <c r="BJ84" i="6"/>
  <c r="BH86" i="6"/>
  <c r="BI13" i="6"/>
  <c r="BH47" i="6"/>
  <c r="BI18" i="6"/>
  <c r="BH52" i="6"/>
  <c r="BH91" i="6"/>
  <c r="BH53" i="6"/>
  <c r="BH92" i="6"/>
  <c r="BI19" i="6"/>
  <c r="BI82" i="6"/>
  <c r="BJ9" i="6"/>
  <c r="BJ30" i="6"/>
  <c r="BI43" i="6"/>
  <c r="BI21" i="6"/>
  <c r="BH94" i="6"/>
  <c r="BH55" i="6"/>
  <c r="BI35" i="6"/>
  <c r="BI26" i="6"/>
  <c r="BH60" i="6"/>
  <c r="BH99" i="6"/>
  <c r="BF73" i="6"/>
  <c r="BF103" i="6"/>
  <c r="BF62" i="6"/>
  <c r="BF77" i="6"/>
  <c r="BG42" i="6"/>
  <c r="BG61" i="6" s="1"/>
  <c r="BI22" i="6"/>
  <c r="BH56" i="6"/>
  <c r="BH95" i="6"/>
  <c r="BI16" i="6"/>
  <c r="BH50" i="6"/>
  <c r="BH89" i="6"/>
  <c r="BI66" i="6"/>
  <c r="BH93" i="6"/>
  <c r="BI20" i="6"/>
  <c r="BH54" i="6"/>
  <c r="BG71" i="6"/>
  <c r="BI27" i="6" l="1"/>
  <c r="BH100" i="6"/>
  <c r="BI81" i="6" s="1"/>
  <c r="BI49" i="6"/>
  <c r="BJ15" i="6"/>
  <c r="BI88" i="6"/>
  <c r="BJ24" i="6"/>
  <c r="BJ33" i="6"/>
  <c r="BJ68" i="6" s="1"/>
  <c r="BI97" i="6"/>
  <c r="BI58" i="6"/>
  <c r="BF102" i="6"/>
  <c r="BF129" i="6" s="1"/>
  <c r="BF130" i="6" s="1"/>
  <c r="BJ82" i="6"/>
  <c r="BK30" i="6"/>
  <c r="BK9" i="6"/>
  <c r="BJ43" i="6"/>
  <c r="BI86" i="6"/>
  <c r="BI47" i="6"/>
  <c r="BJ13" i="6"/>
  <c r="BL32" i="6"/>
  <c r="BL67" i="6" s="1"/>
  <c r="BL11" i="6"/>
  <c r="BK45" i="6"/>
  <c r="BK84" i="6"/>
  <c r="BJ83" i="6"/>
  <c r="BK31" i="6"/>
  <c r="BK66" i="6" s="1"/>
  <c r="BK10" i="6"/>
  <c r="BJ44" i="6"/>
  <c r="BJ23" i="6"/>
  <c r="BI96" i="6"/>
  <c r="BI57" i="6"/>
  <c r="BJ35" i="6"/>
  <c r="BJ70" i="6" s="1"/>
  <c r="BJ26" i="6"/>
  <c r="BI99" i="6"/>
  <c r="BI60" i="6"/>
  <c r="BI70" i="6"/>
  <c r="BI90" i="6"/>
  <c r="BJ17" i="6"/>
  <c r="BI51" i="6"/>
  <c r="BJ21" i="6"/>
  <c r="BI94" i="6"/>
  <c r="BI55" i="6"/>
  <c r="BI69" i="6"/>
  <c r="BJ20" i="6"/>
  <c r="BI93" i="6"/>
  <c r="BI54" i="6"/>
  <c r="BI68" i="6"/>
  <c r="BI89" i="6"/>
  <c r="BJ16" i="6"/>
  <c r="BI50" i="6"/>
  <c r="BJ22" i="6"/>
  <c r="BI95" i="6"/>
  <c r="BI56" i="6"/>
  <c r="BG73" i="6"/>
  <c r="BG103" i="6"/>
  <c r="BG77" i="6"/>
  <c r="BG62" i="6"/>
  <c r="BH42" i="6"/>
  <c r="BH61" i="6" s="1"/>
  <c r="BI53" i="6"/>
  <c r="BI92" i="6"/>
  <c r="BJ19" i="6"/>
  <c r="BJ18" i="6"/>
  <c r="BI91" i="6"/>
  <c r="BI52" i="6"/>
  <c r="BJ14" i="6"/>
  <c r="BI87" i="6"/>
  <c r="BI48" i="6"/>
  <c r="BI36" i="6"/>
  <c r="BI64" i="6" s="1"/>
  <c r="BJ34" i="6"/>
  <c r="BJ69" i="6" s="1"/>
  <c r="BI98" i="6"/>
  <c r="BJ25" i="6"/>
  <c r="BI59" i="6"/>
  <c r="BJ65" i="6"/>
  <c r="BJ12" i="6"/>
  <c r="BI46" i="6"/>
  <c r="BI85" i="6"/>
  <c r="BI100" i="6" l="1"/>
  <c r="BJ81" i="6" s="1"/>
  <c r="BJ36" i="6"/>
  <c r="BJ64" i="6" s="1"/>
  <c r="BJ71" i="6" s="1"/>
  <c r="BK12" i="6"/>
  <c r="BJ46" i="6"/>
  <c r="BJ85" i="6"/>
  <c r="BK20" i="6"/>
  <c r="BJ93" i="6"/>
  <c r="BJ54" i="6"/>
  <c r="BK21" i="6"/>
  <c r="BJ55" i="6"/>
  <c r="BJ94" i="6"/>
  <c r="BK22" i="6"/>
  <c r="BJ95" i="6"/>
  <c r="BJ56" i="6"/>
  <c r="BI71" i="6"/>
  <c r="BJ27" i="6"/>
  <c r="BK18" i="6"/>
  <c r="BJ52" i="6"/>
  <c r="BJ91" i="6"/>
  <c r="BJ90" i="6"/>
  <c r="BK17" i="6"/>
  <c r="BJ51" i="6"/>
  <c r="BJ92" i="6"/>
  <c r="BJ53" i="6"/>
  <c r="BK19" i="6"/>
  <c r="BK83" i="6"/>
  <c r="BK44" i="6"/>
  <c r="BL10" i="6"/>
  <c r="BL31" i="6"/>
  <c r="BL66" i="6" s="1"/>
  <c r="BM32" i="6"/>
  <c r="BM11" i="6"/>
  <c r="BL45" i="6"/>
  <c r="BL84" i="6"/>
  <c r="BK14" i="6"/>
  <c r="BJ87" i="6"/>
  <c r="BJ48" i="6"/>
  <c r="BK35" i="6"/>
  <c r="BK26" i="6"/>
  <c r="BJ99" i="6"/>
  <c r="BJ60" i="6"/>
  <c r="BK15" i="6"/>
  <c r="BJ49" i="6"/>
  <c r="BJ88" i="6"/>
  <c r="BJ96" i="6"/>
  <c r="BK23" i="6"/>
  <c r="BJ57" i="6"/>
  <c r="BK16" i="6"/>
  <c r="BJ50" i="6"/>
  <c r="BJ89" i="6"/>
  <c r="BK34" i="6"/>
  <c r="BK69" i="6" s="1"/>
  <c r="BJ98" i="6"/>
  <c r="BK25" i="6"/>
  <c r="BJ59" i="6"/>
  <c r="BK82" i="6"/>
  <c r="BL30" i="6"/>
  <c r="BL9" i="6"/>
  <c r="BK43" i="6"/>
  <c r="BK65" i="6"/>
  <c r="BH73" i="6"/>
  <c r="BH103" i="6"/>
  <c r="BH62" i="6"/>
  <c r="BH77" i="6"/>
  <c r="BI42" i="6"/>
  <c r="BI61" i="6" s="1"/>
  <c r="BG102" i="6"/>
  <c r="BG129" i="6" s="1"/>
  <c r="BG130" i="6" s="1"/>
  <c r="BJ86" i="6"/>
  <c r="BK13" i="6"/>
  <c r="BJ47" i="6"/>
  <c r="BK24" i="6"/>
  <c r="BK33" i="6"/>
  <c r="BK68" i="6" s="1"/>
  <c r="BJ58" i="6"/>
  <c r="BJ97" i="6"/>
  <c r="BJ100" i="6" l="1"/>
  <c r="BK81" i="6" s="1"/>
  <c r="BK27" i="6"/>
  <c r="BL19" i="6"/>
  <c r="BK53" i="6"/>
  <c r="BK92" i="6"/>
  <c r="BL16" i="6"/>
  <c r="BK50" i="6"/>
  <c r="BK89" i="6"/>
  <c r="BL83" i="6"/>
  <c r="BL44" i="6"/>
  <c r="BM10" i="6"/>
  <c r="BM31" i="6"/>
  <c r="BL17" i="6"/>
  <c r="BK90" i="6"/>
  <c r="BK51" i="6"/>
  <c r="BK96" i="6"/>
  <c r="BL23" i="6"/>
  <c r="BK57" i="6"/>
  <c r="BL26" i="6"/>
  <c r="BL35" i="6"/>
  <c r="BL70" i="6" s="1"/>
  <c r="BK99" i="6"/>
  <c r="BK60" i="6"/>
  <c r="BL34" i="6"/>
  <c r="BL69" i="6" s="1"/>
  <c r="BK98" i="6"/>
  <c r="BL25" i="6"/>
  <c r="BK59" i="6"/>
  <c r="BK86" i="6"/>
  <c r="BL13" i="6"/>
  <c r="BK47" i="6"/>
  <c r="BL15" i="6"/>
  <c r="BK49" i="6"/>
  <c r="BK88" i="6"/>
  <c r="BI103" i="6"/>
  <c r="BI77" i="6"/>
  <c r="BI62" i="6"/>
  <c r="BI73" i="6"/>
  <c r="BI102" i="6" s="1"/>
  <c r="BI129" i="6" s="1"/>
  <c r="BJ42" i="6"/>
  <c r="BJ61" i="6" s="1"/>
  <c r="BL22" i="6"/>
  <c r="BK95" i="6"/>
  <c r="BK56" i="6"/>
  <c r="BK70" i="6"/>
  <c r="BH102" i="6"/>
  <c r="BH129" i="6" s="1"/>
  <c r="BH130" i="6" s="1"/>
  <c r="BK36" i="6"/>
  <c r="BK64" i="6" s="1"/>
  <c r="BK71" i="6" s="1"/>
  <c r="BN11" i="6"/>
  <c r="BM45" i="6"/>
  <c r="BM84" i="6"/>
  <c r="BL65" i="6"/>
  <c r="BM67" i="6"/>
  <c r="BT67" i="6" s="1"/>
  <c r="BT32" i="6"/>
  <c r="BL24" i="6"/>
  <c r="BK97" i="6"/>
  <c r="BL33" i="6"/>
  <c r="BL68" i="6" s="1"/>
  <c r="BK58" i="6"/>
  <c r="BK91" i="6"/>
  <c r="BL18" i="6"/>
  <c r="BK52" i="6"/>
  <c r="BL21" i="6"/>
  <c r="BK94" i="6"/>
  <c r="BK55" i="6"/>
  <c r="BK48" i="6"/>
  <c r="BL14" i="6"/>
  <c r="BK87" i="6"/>
  <c r="BL20" i="6"/>
  <c r="BK93" i="6"/>
  <c r="BK54" i="6"/>
  <c r="BM9" i="6"/>
  <c r="BM30" i="6"/>
  <c r="BL43" i="6"/>
  <c r="BL82" i="6"/>
  <c r="BL12" i="6"/>
  <c r="BK46" i="6"/>
  <c r="BK85" i="6"/>
  <c r="BK100" i="6" l="1"/>
  <c r="BL81" i="6" s="1"/>
  <c r="BL46" i="6"/>
  <c r="BM12" i="6"/>
  <c r="BL85" i="6"/>
  <c r="BM25" i="6"/>
  <c r="BM34" i="6"/>
  <c r="BL98" i="6"/>
  <c r="BL59" i="6"/>
  <c r="BL96" i="6"/>
  <c r="BM23" i="6"/>
  <c r="BL57" i="6"/>
  <c r="BM82" i="6"/>
  <c r="BN9" i="6"/>
  <c r="BM43" i="6"/>
  <c r="BM22" i="6"/>
  <c r="BL56" i="6"/>
  <c r="BL95" i="6"/>
  <c r="BM44" i="6"/>
  <c r="BN10" i="6"/>
  <c r="BM83" i="6"/>
  <c r="BL36" i="6"/>
  <c r="BL64" i="6" s="1"/>
  <c r="BL71" i="6" s="1"/>
  <c r="BM17" i="6"/>
  <c r="BL51" i="6"/>
  <c r="BL90" i="6"/>
  <c r="BL48" i="6"/>
  <c r="BM14" i="6"/>
  <c r="BL87" i="6"/>
  <c r="BM66" i="6"/>
  <c r="BT66" i="6" s="1"/>
  <c r="BT31" i="6"/>
  <c r="BL49" i="6"/>
  <c r="BM15" i="6"/>
  <c r="BL88" i="6"/>
  <c r="BL97" i="6"/>
  <c r="BM33" i="6"/>
  <c r="BM24" i="6"/>
  <c r="BL58" i="6"/>
  <c r="BM35" i="6"/>
  <c r="BM26" i="6"/>
  <c r="BL99" i="6"/>
  <c r="BL60" i="6"/>
  <c r="BN45" i="6"/>
  <c r="BT45" i="6" s="1"/>
  <c r="BN84" i="6"/>
  <c r="BT84" i="6" s="1"/>
  <c r="BT11" i="6"/>
  <c r="BL27" i="6"/>
  <c r="BM36" i="6"/>
  <c r="BM64" i="6" s="1"/>
  <c r="BM65" i="6"/>
  <c r="BT65" i="6" s="1"/>
  <c r="BT30" i="6"/>
  <c r="BL93" i="6"/>
  <c r="BM20" i="6"/>
  <c r="BL54" i="6"/>
  <c r="BI130" i="6"/>
  <c r="BM21" i="6"/>
  <c r="BL55" i="6"/>
  <c r="BL94" i="6"/>
  <c r="BM16" i="6"/>
  <c r="BL50" i="6"/>
  <c r="BL89" i="6"/>
  <c r="BM18" i="6"/>
  <c r="BL91" i="6"/>
  <c r="BL52" i="6"/>
  <c r="BJ77" i="6"/>
  <c r="BJ62" i="6"/>
  <c r="BK42" i="6"/>
  <c r="BK61" i="6" s="1"/>
  <c r="BJ73" i="6"/>
  <c r="BL86" i="6"/>
  <c r="BM13" i="6"/>
  <c r="BL47" i="6"/>
  <c r="BM19" i="6"/>
  <c r="BL53" i="6"/>
  <c r="BL92" i="6"/>
  <c r="BL100" i="6" l="1"/>
  <c r="BM81" i="6" s="1"/>
  <c r="BM27" i="6"/>
  <c r="BN16" i="6"/>
  <c r="BM50" i="6"/>
  <c r="BM89" i="6"/>
  <c r="BN14" i="6"/>
  <c r="BM48" i="6"/>
  <c r="BM87" i="6"/>
  <c r="BM93" i="6"/>
  <c r="BN20" i="6"/>
  <c r="BM54" i="6"/>
  <c r="BN44" i="6"/>
  <c r="BT44" i="6" s="1"/>
  <c r="BN83" i="6"/>
  <c r="BT83" i="6" s="1"/>
  <c r="BT10" i="6"/>
  <c r="BN22" i="6"/>
  <c r="BM56" i="6"/>
  <c r="BM95" i="6"/>
  <c r="BN82" i="6"/>
  <c r="BN43" i="6"/>
  <c r="BT43" i="6" s="1"/>
  <c r="BT9" i="6"/>
  <c r="BM70" i="6"/>
  <c r="BT70" i="6" s="1"/>
  <c r="BT35" i="6"/>
  <c r="BK62" i="6"/>
  <c r="BK77" i="6"/>
  <c r="BK73" i="6"/>
  <c r="BL42" i="6"/>
  <c r="BL61" i="6" s="1"/>
  <c r="BM68" i="6"/>
  <c r="BT68" i="6" s="1"/>
  <c r="BT71" i="6" s="1"/>
  <c r="BT33" i="6"/>
  <c r="BN25" i="6"/>
  <c r="BM98" i="6"/>
  <c r="BM59" i="6"/>
  <c r="BN26" i="6"/>
  <c r="BM99" i="6"/>
  <c r="BM60" i="6"/>
  <c r="BJ103" i="6"/>
  <c r="BJ102" i="6"/>
  <c r="BJ129" i="6" s="1"/>
  <c r="BJ130" i="6" s="1"/>
  <c r="BN21" i="6"/>
  <c r="BM55" i="6"/>
  <c r="BM94" i="6"/>
  <c r="BN17" i="6"/>
  <c r="BM51" i="6"/>
  <c r="BM90" i="6"/>
  <c r="BN19" i="6"/>
  <c r="BM53" i="6"/>
  <c r="BM92" i="6"/>
  <c r="BN23" i="6"/>
  <c r="BM96" i="6"/>
  <c r="BM57" i="6"/>
  <c r="BM97" i="6"/>
  <c r="BN24" i="6"/>
  <c r="BM58" i="6"/>
  <c r="BN15" i="6"/>
  <c r="BM49" i="6"/>
  <c r="BM88" i="6"/>
  <c r="BN18" i="6"/>
  <c r="BM91" i="6"/>
  <c r="BM52" i="6"/>
  <c r="BN12" i="6"/>
  <c r="BM46" i="6"/>
  <c r="BM85" i="6"/>
  <c r="BM86" i="6"/>
  <c r="BN13" i="6"/>
  <c r="BM47" i="6"/>
  <c r="BM69" i="6"/>
  <c r="BT69" i="6" s="1"/>
  <c r="BT34" i="6"/>
  <c r="BT36" i="6" l="1"/>
  <c r="BM100" i="6"/>
  <c r="BN81" i="6" s="1"/>
  <c r="BN49" i="6"/>
  <c r="BT49" i="6" s="1"/>
  <c r="BN88" i="6"/>
  <c r="BT88" i="6" s="1"/>
  <c r="BT15" i="6"/>
  <c r="BT82" i="6"/>
  <c r="BN92" i="6"/>
  <c r="BT92" i="6" s="1"/>
  <c r="BN53" i="6"/>
  <c r="BT53" i="6" s="1"/>
  <c r="BT19" i="6"/>
  <c r="BN95" i="6"/>
  <c r="BT95" i="6" s="1"/>
  <c r="BN56" i="6"/>
  <c r="BT56" i="6" s="1"/>
  <c r="BT22" i="6"/>
  <c r="BN90" i="6"/>
  <c r="BT90" i="6" s="1"/>
  <c r="BN51" i="6"/>
  <c r="BT51" i="6" s="1"/>
  <c r="BT17" i="6"/>
  <c r="BN86" i="6"/>
  <c r="BT86" i="6" s="1"/>
  <c r="BN47" i="6"/>
  <c r="BT47" i="6" s="1"/>
  <c r="BT13" i="6"/>
  <c r="BK103" i="6"/>
  <c r="BK102" i="6"/>
  <c r="BK129" i="6" s="1"/>
  <c r="BK130" i="6" s="1"/>
  <c r="BN96" i="6"/>
  <c r="BT96" i="6" s="1"/>
  <c r="BN57" i="6"/>
  <c r="BT57" i="6" s="1"/>
  <c r="BT23" i="6"/>
  <c r="BL62" i="6"/>
  <c r="BL77" i="6"/>
  <c r="BL73" i="6"/>
  <c r="BM42" i="6"/>
  <c r="BM61" i="6" s="1"/>
  <c r="BN58" i="6"/>
  <c r="BT58" i="6" s="1"/>
  <c r="BN97" i="6"/>
  <c r="BT97" i="6" s="1"/>
  <c r="BT24" i="6"/>
  <c r="BN27" i="6"/>
  <c r="BN46" i="6"/>
  <c r="BT46" i="6" s="1"/>
  <c r="BN85" i="6"/>
  <c r="BT85" i="6" s="1"/>
  <c r="BT12" i="6"/>
  <c r="BN87" i="6"/>
  <c r="BT87" i="6" s="1"/>
  <c r="BN48" i="6"/>
  <c r="BT48" i="6" s="1"/>
  <c r="BT14" i="6"/>
  <c r="BN98" i="6"/>
  <c r="BT98" i="6" s="1"/>
  <c r="BN59" i="6"/>
  <c r="BT59" i="6" s="1"/>
  <c r="BT25" i="6"/>
  <c r="BM71" i="6"/>
  <c r="BN55" i="6"/>
  <c r="BT55" i="6" s="1"/>
  <c r="BN94" i="6"/>
  <c r="BT94" i="6" s="1"/>
  <c r="BT21" i="6"/>
  <c r="BN93" i="6"/>
  <c r="BT93" i="6" s="1"/>
  <c r="BN54" i="6"/>
  <c r="BT54" i="6" s="1"/>
  <c r="BT20" i="6"/>
  <c r="BN60" i="6"/>
  <c r="BT60" i="6" s="1"/>
  <c r="BN99" i="6"/>
  <c r="BT99" i="6" s="1"/>
  <c r="BT26" i="6"/>
  <c r="BN91" i="6"/>
  <c r="BT91" i="6" s="1"/>
  <c r="BN52" i="6"/>
  <c r="BT52" i="6" s="1"/>
  <c r="BT18" i="6"/>
  <c r="BN50" i="6"/>
  <c r="BT50" i="6" s="1"/>
  <c r="BN89" i="6"/>
  <c r="BT89" i="6" s="1"/>
  <c r="BT16" i="6"/>
  <c r="BT27" i="6" l="1"/>
  <c r="BT61" i="6"/>
  <c r="B13" i="10"/>
  <c r="G5" i="7"/>
  <c r="F7" i="9"/>
  <c r="D13" i="10"/>
  <c r="BT73" i="6"/>
  <c r="BT77" i="6"/>
  <c r="C13" i="10"/>
  <c r="F7" i="8"/>
  <c r="F9" i="8"/>
  <c r="F18" i="8" s="1"/>
  <c r="F21" i="8"/>
  <c r="F22" i="8" s="1"/>
  <c r="F23" i="8" s="1"/>
  <c r="BM77" i="6"/>
  <c r="BM73" i="6"/>
  <c r="BM62" i="6"/>
  <c r="BN42" i="6"/>
  <c r="BN61" i="6" s="1"/>
  <c r="BN100" i="6"/>
  <c r="BL102" i="6"/>
  <c r="BL129" i="6" s="1"/>
  <c r="BL130" i="6" s="1"/>
  <c r="BL103" i="6"/>
  <c r="BT100" i="6"/>
  <c r="G8" i="7" l="1"/>
  <c r="F8" i="9" s="1"/>
  <c r="F10" i="8"/>
  <c r="B10" i="10"/>
  <c r="B20" i="10" s="1"/>
  <c r="F24" i="8"/>
  <c r="C10" i="10"/>
  <c r="C20" i="10" s="1"/>
  <c r="D10" i="10"/>
  <c r="D20" i="10" s="1"/>
  <c r="F9" i="9"/>
  <c r="F10" i="9" s="1"/>
  <c r="BN77" i="6"/>
  <c r="BN73" i="6"/>
  <c r="BN62" i="6"/>
  <c r="F25" i="8"/>
  <c r="BT103" i="6"/>
  <c r="BT102" i="6"/>
  <c r="BT129" i="6" s="1"/>
  <c r="D21" i="10"/>
  <c r="G18" i="7"/>
  <c r="G6" i="7"/>
  <c r="B33" i="10" s="1"/>
  <c r="BM102" i="6"/>
  <c r="BM129" i="6" s="1"/>
  <c r="BM130" i="6" s="1"/>
  <c r="BM103" i="6"/>
  <c r="C23" i="10"/>
  <c r="D23" i="10"/>
  <c r="B23" i="10"/>
  <c r="C21" i="10"/>
  <c r="B21" i="10"/>
  <c r="C22" i="10" l="1"/>
  <c r="C24" i="10" s="1"/>
  <c r="C25" i="10" s="1"/>
  <c r="B15" i="10"/>
  <c r="B16" i="10" s="1"/>
  <c r="B34" i="10"/>
  <c r="B36" i="10" s="1"/>
  <c r="B14" i="10"/>
  <c r="G7" i="7"/>
  <c r="G11" i="7" s="1"/>
  <c r="C33" i="10"/>
  <c r="B22" i="10"/>
  <c r="B24" i="10"/>
  <c r="B25" i="10" s="1"/>
  <c r="BN103" i="6"/>
  <c r="BN102" i="6"/>
  <c r="BN129" i="6" s="1"/>
  <c r="BN130" i="6" s="1"/>
  <c r="D22" i="10"/>
  <c r="D24" i="10" s="1"/>
  <c r="D25" i="10" s="1"/>
  <c r="D33" i="10"/>
  <c r="F29" i="8"/>
  <c r="F32" i="8" s="1"/>
  <c r="F34" i="8" s="1"/>
  <c r="F33" i="8"/>
  <c r="F35" i="8" s="1"/>
  <c r="C15" i="10" l="1"/>
  <c r="C16" i="10" s="1"/>
  <c r="C34" i="10"/>
  <c r="C36" i="10" s="1"/>
  <c r="C14" i="10"/>
  <c r="G12" i="7"/>
  <c r="G19" i="7" s="1"/>
  <c r="G21" i="7" s="1"/>
  <c r="F13" i="9" s="1"/>
  <c r="F15" i="9" s="1"/>
  <c r="G13" i="7"/>
  <c r="G29" i="7" s="1"/>
  <c r="D25" i="7" s="1"/>
  <c r="D15" i="10"/>
  <c r="D16" i="10" s="1"/>
  <c r="D34" i="10"/>
  <c r="D36" i="10" s="1"/>
  <c r="D14" i="10"/>
  <c r="B16" i="9" l="1"/>
  <c r="B17" i="9"/>
  <c r="B18" i="9" l="1"/>
  <c r="B25" i="9"/>
  <c r="B26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4" authorId="0" shapeId="0" xr:uid="{00000000-0006-0000-0100-000003000000}">
      <text>
        <r>
          <rPr>
            <sz val="10"/>
            <rFont val="Arial"/>
            <family val="2"/>
          </rPr>
          <t>TAM = US$18,3 bi (mercado global Cloud Cost Management, MarketsandMarkets 2024) x cambio ref. R$5,00/US$. Fonte: Entregavel 2.</t>
        </r>
      </text>
    </comment>
    <comment ref="E5" authorId="0" shapeId="0" xr:uid="{00000000-0006-0000-0100-000004000000}">
      <text>
        <r>
          <rPr>
            <sz val="10"/>
            <rFont val="Arial"/>
            <family val="2"/>
          </rPr>
          <t>SAM = US$4,1 bi (~22% do TAM, organizacoes multi-cloud ativas). Fonte: Flexera State of the Cloud 2024.</t>
        </r>
      </text>
    </comment>
    <comment ref="E6" authorId="0" shapeId="0" xr:uid="{00000000-0006-0000-0100-000005000000}">
      <text>
        <r>
          <rPr>
            <sz val="10"/>
            <rFont val="Arial"/>
            <family val="2"/>
          </rPr>
          <t>SOM calculado bottom-up: 1.400 empresas elegiveis no Brasil (gasto cloud &gt;R$50k/mes, fonte ABES 2024) x ticket medio anual R$96.000. Substitui formula padrao (SAM x %) para manter coerencia com a segmentacao validada no Entregavel 2.</t>
        </r>
      </text>
    </comment>
    <comment ref="B15" authorId="0" shapeId="0" xr:uid="{00000000-0006-0000-0100-000001000000}">
      <text>
        <r>
          <rPr>
            <sz val="10"/>
            <rFont val="Arial"/>
            <family val="2"/>
          </rPr>
          <t>Ticket medio anual por cliente (~R$8.000/mes), blend entre assinatura SaaS, success fee e plano enterprise.</t>
        </r>
      </text>
    </comment>
    <comment ref="C41" authorId="0" shapeId="0" xr:uid="{00000000-0006-0000-0100-000002000000}">
      <text>
        <r>
          <rPr>
            <sz val="10"/>
            <rFont val="Arial"/>
            <family val="2"/>
          </rPr>
          <t>Baseado em cliente-referencia com gasto cloud R$380k/mes, saving medio 15%, fee 10% -&gt; ~R$5,7k; arredondado para R$8k considerando contas maiores.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5" authorId="0" shapeId="0" xr:uid="{00000000-0006-0000-0300-000001000000}">
      <text>
        <r>
          <rPr>
            <sz val="10"/>
            <rFont val="Arial"/>
            <family val="2"/>
          </rPr>
          <t>Soma da folha M&amp;V da aba Folha de Pagamentos (Head de Growth + Analista de CS) / 12.</t>
        </r>
      </text>
    </comment>
    <comment ref="B8" authorId="0" shapeId="0" xr:uid="{00000000-0006-0000-0300-000002000000}">
      <text>
        <r>
          <rPr>
            <sz val="10"/>
            <rFont val="Arial"/>
            <family val="2"/>
          </rPr>
          <t>Infraestrutura cloud do motor de predicao, APIs de preco (AWS/Azure/GCP) e store de telemetria (PostgreSQL/DuckDB).</t>
        </r>
      </text>
    </comment>
    <comment ref="B9" authorId="0" shapeId="0" xr:uid="{00000000-0006-0000-0300-000003000000}">
      <text>
        <r>
          <rPr>
            <sz val="10"/>
            <rFont val="Arial"/>
            <family val="2"/>
          </rPr>
          <t>Soma da folha P&amp;D da aba Folha de Pagamentos (CTO + Data Engineer Senior + Pleno) / 12.</t>
        </r>
      </text>
    </comment>
    <comment ref="B15" authorId="0" shapeId="0" xr:uid="{00000000-0006-0000-0300-000004000000}">
      <text>
        <r>
          <rPr>
            <sz val="10"/>
            <rFont val="Arial"/>
            <family val="2"/>
          </rPr>
          <t>Soma da folha G&amp;A da aba Folha de Pagamentos (CEO + Controller/Admin) / 12.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9" authorId="0" shapeId="0" xr:uid="{00000000-0006-0000-0400-000001000000}">
      <text>
        <r>
          <rPr>
            <sz val="10"/>
            <rFont val="Arial"/>
            <family val="2"/>
          </rPr>
          <t>Custo de desenvolvimento do MVP do motor de predicao + integracao com APIs de preco AWS/Azure (Curto Prazo do roadmap).</t>
        </r>
      </text>
    </comment>
  </commentList>
</comments>
</file>

<file path=xl/sharedStrings.xml><?xml version="1.0" encoding="utf-8"?>
<sst xmlns="http://schemas.openxmlformats.org/spreadsheetml/2006/main" count="486" uniqueCount="330">
  <si>
    <t>FIAP</t>
  </si>
  <si>
    <t>Modelo Financeiro para Novos Negócios ( Startup One ou Discovery)</t>
  </si>
  <si>
    <t>Intruções de Preenchimento</t>
  </si>
  <si>
    <t>1. Geral</t>
  </si>
  <si>
    <t>Preencha somente os campos em amarelo das abas : "Premissa de Receitas", "Premissade Despesas, "Premissas de Investimento</t>
  </si>
  <si>
    <t>A aba "Folha de Pagamento" é apenas um valor referencial, para que depois você coloque  o valor na aba "premissas e Despesas</t>
  </si>
  <si>
    <t>As abas "Projeção Financeira" e "Resumo""
 são automatizads, ou seja, não precisam ser preenchidas</t>
  </si>
  <si>
    <t>2. Premissa Receitas (O quanto o seu negócio gera de receita)</t>
  </si>
  <si>
    <t>Preencha o TAM/SAM/SOM  estudado, em volume financeiro de faturamento de mercado</t>
  </si>
  <si>
    <t>Selecione o tipo de atividade na qual seu negócio atuará , o que definirá o cálculo de imposto</t>
  </si>
  <si>
    <t>Em seguida, preencha média aproximada de preço (ticket médio), para calcularmos a projeção de clientes.  Defina também o perrcentual de cliente que deseja alcançar no primeiro ano e no primeiro mês, assim como a taxa % de cfrescimento mensal.</t>
  </si>
  <si>
    <t>Em seguida,  preencha o modelo de Monetização. Você pode escolher mais de um. Nesta hora você deve percentiualizar qual a representatividade de cada modelo ( Ex. 70% Assinatura/ 30% B2B) e definir preço de venda e custo dos serviços/produtos, assim como percentual de vendas de cada um deles em cada bloco de monetização</t>
  </si>
  <si>
    <t>3. Premissa Despesas ( o quanto o seu negócio  gera de custos)</t>
  </si>
  <si>
    <t>Preencha os grupos de despesas , considerando uma somatoria de valores que gastaria mensalmente</t>
  </si>
  <si>
    <t>Para cada grupo de despesas, considere valhores de folha de pagamento mensal existente naquele grupo</t>
  </si>
  <si>
    <t>Defina a estimativa anual de reajustes de despesas , que ocorre natuaralmente todo ano</t>
  </si>
  <si>
    <t>4. Premissa investimento Inicial ( o quanto você precisa para começar seu negócio, seja com investimentos próprios ou com captaçoes de mercdo)</t>
  </si>
  <si>
    <t>Preencha os grupos deinvestimento , considerando uma somatoria de valores que precisaria para começar este negócio</t>
  </si>
  <si>
    <t>Suposições de receita</t>
  </si>
  <si>
    <t>Tamanho de Mercado (Trazer números em valor financeiro de faturamento do setor escolhido)</t>
  </si>
  <si>
    <t>Tam</t>
  </si>
  <si>
    <t xml:space="preserve">Somatória das receitas geradas por todos os players do seu segmento.
</t>
  </si>
  <si>
    <t>Sam</t>
  </si>
  <si>
    <t xml:space="preserve">Somatória das receitas que você poderia ganhar vendendo o seu produto em um segmento.
</t>
  </si>
  <si>
    <t>Som</t>
  </si>
  <si>
    <t>Quantos $$$ destes realmente você vai conseguir considerando concorrentes, região, tendências, demanda esperada</t>
  </si>
  <si>
    <t>Atividade:</t>
  </si>
  <si>
    <t xml:space="preserve">1 para Comércio </t>
  </si>
  <si>
    <t xml:space="preserve">2 para Serviços </t>
  </si>
  <si>
    <t xml:space="preserve">3 para Indústria </t>
  </si>
  <si>
    <t>Projeção de Clientes</t>
  </si>
  <si>
    <t>% SOM</t>
  </si>
  <si>
    <t xml:space="preserve">Total </t>
  </si>
  <si>
    <t>Preço Médio</t>
  </si>
  <si>
    <t>Crescimento Anual</t>
  </si>
  <si>
    <t>Numero de clientes em 5 anos</t>
  </si>
  <si>
    <t>% Cresc. Ano 2</t>
  </si>
  <si>
    <t>Numero de cliente no Primeiro ano</t>
  </si>
  <si>
    <t>% Cresc. Ano 3</t>
  </si>
  <si>
    <t>Número de Cliente no Primeiro Mês</t>
  </si>
  <si>
    <t>% Cresc. Ano 4</t>
  </si>
  <si>
    <t>% Cres Mensal</t>
  </si>
  <si>
    <t>% Cresc. Ano 5</t>
  </si>
  <si>
    <t>Modelo de Monetização (Preencha apenas o(s) modelo(s) escolhido(s), que podem ser mais de um)</t>
  </si>
  <si>
    <t>Assinatura (SaaS)</t>
  </si>
  <si>
    <t>O que contempla?</t>
  </si>
  <si>
    <t>$ preço de venda</t>
  </si>
  <si>
    <t>$ Custo unitário</t>
  </si>
  <si>
    <t>Margem</t>
  </si>
  <si>
    <t>% Vendas</t>
  </si>
  <si>
    <t>Clientes Mês 1</t>
  </si>
  <si>
    <t># de clientes Assinatura Fremium</t>
  </si>
  <si>
    <t>Free trial + estimativas limitadas (self-serve)</t>
  </si>
  <si>
    <t># de clientes Assinatura 1</t>
  </si>
  <si>
    <t>SaaS por volume de jobs preditos (ticket medio mensal)</t>
  </si>
  <si>
    <t># de clientes Assinatura 2</t>
  </si>
  <si>
    <t>Assinatura Enterprise por usuario</t>
  </si>
  <si>
    <t xml:space="preserve">Perececentual  de faturamento do Modelo </t>
  </si>
  <si>
    <t>Clientes no primeiro mês</t>
  </si>
  <si>
    <t>% Churn - cancelamentos mensais</t>
  </si>
  <si>
    <t>Marketplace</t>
  </si>
  <si>
    <t>$ preço médio de venda</t>
  </si>
  <si>
    <t># de clientes marketplace % Comissão 1</t>
  </si>
  <si>
    <t># de clientes marketplace % Comissão 2</t>
  </si>
  <si>
    <t># de clientes marketplace % Comissão 3</t>
  </si>
  <si>
    <t>B2B</t>
  </si>
  <si>
    <t># de clientes B2B Setup</t>
  </si>
  <si>
    <t>Setup + integracao (Dagster/Spark, onboarding)</t>
  </si>
  <si>
    <t># de clientes B2B Mensalidade</t>
  </si>
  <si>
    <t>Success Fee medio mensal (8-12% do saving gerado)</t>
  </si>
  <si>
    <t># de clientes B2B Manutenção</t>
  </si>
  <si>
    <t>Conteúdo Premium/Paywall</t>
  </si>
  <si>
    <t># de clientes Conteudo/ Paywall 1</t>
  </si>
  <si>
    <t># de clientes Conteudo/ Paywall 2</t>
  </si>
  <si>
    <t># de clientes Conteudo/ Paywall 3</t>
  </si>
  <si>
    <t>Publicidade</t>
  </si>
  <si>
    <t># de clientes publicidade Produto/Serviço 1</t>
  </si>
  <si>
    <t># de clientes publicidade Produto/Serviço 2</t>
  </si>
  <si>
    <t># de clientes publicidade Produto/Serviço 3</t>
  </si>
  <si>
    <t>Pay-per-use</t>
  </si>
  <si>
    <t># Pay-per-use Produto/Serviço 1</t>
  </si>
  <si>
    <t># Pay-per-use Produto/Serviço 2</t>
  </si>
  <si>
    <t># Pay-per-use Produto/Serviço 3</t>
  </si>
  <si>
    <t>Folha de Pagamentos ( Valores ilustrativos)</t>
  </si>
  <si>
    <t>#</t>
  </si>
  <si>
    <t>Name</t>
  </si>
  <si>
    <t>Título</t>
  </si>
  <si>
    <t>Departamento</t>
  </si>
  <si>
    <t>Começo</t>
  </si>
  <si>
    <t>Final</t>
  </si>
  <si>
    <t>Salário Anual</t>
  </si>
  <si>
    <t>Aumento Anual</t>
  </si>
  <si>
    <t>Impostos</t>
  </si>
  <si>
    <t>Fundador(a) 1</t>
  </si>
  <si>
    <t>CEO</t>
  </si>
  <si>
    <t>G&amp;A</t>
  </si>
  <si>
    <t>Fundador(a) 2</t>
  </si>
  <si>
    <t>CTO</t>
  </si>
  <si>
    <t>P&amp;D</t>
  </si>
  <si>
    <t>Eng. de Dados Senior</t>
  </si>
  <si>
    <t>Data Engineer Senior</t>
  </si>
  <si>
    <t>Eng. de Dados Pleno</t>
  </si>
  <si>
    <t>Data Engineer Pleno</t>
  </si>
  <si>
    <t>Head de Growth</t>
  </si>
  <si>
    <t>Head de Growth/Vendas</t>
  </si>
  <si>
    <t>M&amp;V</t>
  </si>
  <si>
    <t>Analista de CS</t>
  </si>
  <si>
    <t>Customer Success / FinOps Liaison</t>
  </si>
  <si>
    <t>Analista Admin</t>
  </si>
  <si>
    <t>Controller/Admin (part-time)</t>
  </si>
  <si>
    <t>Suposições de despesas operacional</t>
  </si>
  <si>
    <t>Vendas e Marketing</t>
  </si>
  <si>
    <t>$ Mensal</t>
  </si>
  <si>
    <t>Ano 1</t>
  </si>
  <si>
    <t xml:space="preserve">Serviços de V&amp;M, software, ferramentas, campanhas </t>
  </si>
  <si>
    <t>Folha de pagamento de V&amp;M</t>
  </si>
  <si>
    <t>Pesquisa e Desenvolvimento</t>
  </si>
  <si>
    <t>Serviços de P&amp;D, software, ferramentas , custos T&amp;I</t>
  </si>
  <si>
    <t>Folha de pagamento de P&amp;D</t>
  </si>
  <si>
    <t>Geral &amp; Admin</t>
  </si>
  <si>
    <t>Aluguel, Energia, Luz e Custos Fixos, internet</t>
  </si>
  <si>
    <t>VIagens e Despesas Extras</t>
  </si>
  <si>
    <t>Serviços de G&amp;A (contabilidade, advogados, consultorias), software, ferramentas - % da Receita</t>
  </si>
  <si>
    <t>Folha de pagamentos de G&amp;A</t>
  </si>
  <si>
    <t>Outras receitas / despesas</t>
  </si>
  <si>
    <t>Depreciação e Amortização</t>
  </si>
  <si>
    <t>Pró-labore de Sócios</t>
  </si>
  <si>
    <t>Outras despesas</t>
  </si>
  <si>
    <t>Estimativa de reajustes nas despesas</t>
  </si>
  <si>
    <t>Ano 02</t>
  </si>
  <si>
    <t>Ano 03</t>
  </si>
  <si>
    <t>Ano 04</t>
  </si>
  <si>
    <t>Ano 05</t>
  </si>
  <si>
    <t>Suposições de Investimentos/ Aporte Iniciais</t>
  </si>
  <si>
    <t>Lançamento da solução (Criaçao de Logo e campanha)</t>
  </si>
  <si>
    <t>Evento de lançamento</t>
  </si>
  <si>
    <t>Contratação de sistemas e ferramentas</t>
  </si>
  <si>
    <t>Desenvolvimento da solução</t>
  </si>
  <si>
    <t>Equipamentos ( computadores ou devices)</t>
  </si>
  <si>
    <t>Estoque inicial ( no caso de devices ou produtos)</t>
  </si>
  <si>
    <t>Serviços de G&amp;A (domínios, documentos e taxas de abertura de empresa)</t>
  </si>
  <si>
    <t>Gastos Pré-Operacionais</t>
  </si>
  <si>
    <t>Template de Projeção FInanceira</t>
  </si>
  <si>
    <t>Mês</t>
  </si>
  <si>
    <t>Ano 2</t>
  </si>
  <si>
    <t>Ano 3</t>
  </si>
  <si>
    <t>Ano 4</t>
  </si>
  <si>
    <t>Ano 5</t>
  </si>
  <si>
    <t>Período</t>
  </si>
  <si>
    <t>Projeção</t>
  </si>
  <si>
    <t>Vendas</t>
  </si>
  <si>
    <t>Novas vendas</t>
  </si>
  <si>
    <t>Total de novas vendas</t>
  </si>
  <si>
    <t>Churn - Cancelamentos</t>
  </si>
  <si>
    <t>Cancelamentos totais</t>
  </si>
  <si>
    <t>Receita de Vendas</t>
  </si>
  <si>
    <t>Receita do Início do Período</t>
  </si>
  <si>
    <t>Receita Anual do Final do Período</t>
  </si>
  <si>
    <t>% De crescimento mensal</t>
  </si>
  <si>
    <t>(-) Churn do Início do Período</t>
  </si>
  <si>
    <t>Churn Anual do Final do Período</t>
  </si>
  <si>
    <t>Receita Total Anual do Final do Período</t>
  </si>
  <si>
    <t>Custo de receita</t>
  </si>
  <si>
    <t>Custo sob Serviços - Início do Período</t>
  </si>
  <si>
    <t>Custo sob Serviço - Final do Período</t>
  </si>
  <si>
    <t>Lucro bruto</t>
  </si>
  <si>
    <t>% Margem Bruta</t>
  </si>
  <si>
    <t>Despesas Operacionais</t>
  </si>
  <si>
    <t>Serviços de V&amp;M, software, ferramentas - % da receita</t>
  </si>
  <si>
    <t xml:space="preserve">Serviços de P&amp;D, software, ferramentas - % da Rec. </t>
  </si>
  <si>
    <t>Aluguel, Energia, Luz e Custos Fixos</t>
  </si>
  <si>
    <t>Serviços de G&amp;A, software, ferramentas - % da Receita</t>
  </si>
  <si>
    <t>Despesas operacionais totais</t>
  </si>
  <si>
    <t>Pró-labore dos Sócios</t>
  </si>
  <si>
    <t>Total outras receitas / despesas</t>
  </si>
  <si>
    <t>Resultado líquido</t>
  </si>
  <si>
    <t>% Margem</t>
  </si>
  <si>
    <t>Resumo da Projeção Financeira - Startup One - Fiap</t>
  </si>
  <si>
    <t>Demonstração do Resultado do Exercício</t>
  </si>
  <si>
    <t>Ano 01</t>
  </si>
  <si>
    <t>Receitas Brutas</t>
  </si>
  <si>
    <t>(-) Impostos</t>
  </si>
  <si>
    <t>Receitas Líquidas</t>
  </si>
  <si>
    <t>(-)Custo Sob Serviço</t>
  </si>
  <si>
    <t>(-) Despesas Operacionais</t>
  </si>
  <si>
    <t>Resultado antes do IR</t>
  </si>
  <si>
    <t>(-) Imposto de Renda</t>
  </si>
  <si>
    <t>Lucro/Prejuízo Líquido</t>
  </si>
  <si>
    <t>Demonstração do Fluxo de Caixa</t>
  </si>
  <si>
    <t>Entradas</t>
  </si>
  <si>
    <t>(-) Saídas</t>
  </si>
  <si>
    <t>(+) Depreciação</t>
  </si>
  <si>
    <t>Fluxo de Caixa</t>
  </si>
  <si>
    <t>Taxa Interna de Retorno Estimada:</t>
  </si>
  <si>
    <t>ao ano</t>
  </si>
  <si>
    <t>Investimento</t>
  </si>
  <si>
    <t>Necessidade de Investimento</t>
  </si>
  <si>
    <t>Ano 0</t>
  </si>
  <si>
    <t>Unit Economics — CAC, LTV e Payback</t>
  </si>
  <si>
    <t>Métrica</t>
  </si>
  <si>
    <t>Comentário / Fonte</t>
  </si>
  <si>
    <t>INSUMOS (linkados das abas existentes)</t>
  </si>
  <si>
    <t>Receita bruta anual (R$)</t>
  </si>
  <si>
    <t>Puxa de 5.Projeção Financeira, linha 61</t>
  </si>
  <si>
    <t>Gastos totais V&amp;M (serviços + folha) (R$)</t>
  </si>
  <si>
    <t>5.Projeção linha 107+108 (mídia + salários vendas/marketing)</t>
  </si>
  <si>
    <t>Novos clientes brutos adquiridos (unid.)</t>
  </si>
  <si>
    <t>5.Projeção linha 27 — vendas brutas antes do churn</t>
  </si>
  <si>
    <t>Custo dos serviços — COGS (R$)</t>
  </si>
  <si>
    <t>5.Projeção linha 100</t>
  </si>
  <si>
    <t>PREMISSAS EDITÁVEIS</t>
  </si>
  <si>
    <t>Churn mensal médio (%)</t>
  </si>
  <si>
    <t>3% ao mês = 30% ao ano. Prof. Marco A.: "2–3% é saudável em SaaS B2B". Alinhado com premissa da aba 1.Premissas Receitas B30.</t>
  </si>
  <si>
    <t>Prazo médio de contrato (meses)</t>
  </si>
  <si>
    <t>Contrato guarda-chuva 12m padrão SaaS B2B. Prof. mencionou 12/24m como barreira de saída.</t>
  </si>
  <si>
    <t>% dos gastos V&amp;M dedicados a aquisição (vs retenção)</t>
  </si>
  <si>
    <t>Ajuste conservador: 70% do V&amp;M vai para NEW logos, 30% para CS/retenção. Isso evita superestimar o CAC.</t>
  </si>
  <si>
    <t>CAC — Custo de Aquisição de Cliente</t>
  </si>
  <si>
    <t>CAC = (V&amp;M × %aquisição) / Novos clientes (R$)</t>
  </si>
  <si>
    <t>Quanto vocês gastam de V&amp;M para trazer 1 cliente novo.</t>
  </si>
  <si>
    <t>TICKET MÉDIO E MARGEM BRUTA (calculado a partir da receita real)</t>
  </si>
  <si>
    <t>Base ativa de clientes ao final do ano (unid.)</t>
  </si>
  <si>
    <t>Novos brutos acumulados − Churn acumulado. Puxa linhas 27 e 36 do modelo.</t>
  </si>
  <si>
    <t>Base ativa MÉDIA no ano (unid.)</t>
  </si>
  <si>
    <t>Base ativa média = (base início + base fim) / 2.</t>
  </si>
  <si>
    <t>Ticket médio ANUAL por cliente (R$)</t>
  </si>
  <si>
    <t>Receita bruta ÷ base ativa média. Este é o ticket REAL, não o parâmetro do SOM.</t>
  </si>
  <si>
    <t>Ticket médio MENSAL por cliente (R$)</t>
  </si>
  <si>
    <t>Margem bruta % (Receita − COGS) / Receita</t>
  </si>
  <si>
    <t>Meta SaaS: &gt;70%. Modelo do colega opera em 74–89%. ✓</t>
  </si>
  <si>
    <t>LTV — Lifetime Value do Cliente</t>
  </si>
  <si>
    <t>Vida útil média do cliente (meses) = 1 / Churn</t>
  </si>
  <si>
    <t>Com 3%/mês → cliente fica ~33 meses (~2,8 anos).</t>
  </si>
  <si>
    <t>LTV = Ticket mensal × Margem × Vida útil (R$)</t>
  </si>
  <si>
    <t>Valor total que o cliente gera de lucro bruto durante toda a relação.</t>
  </si>
  <si>
    <t>MÉTRICAS-CHAVE (o professor vai olhar aqui)</t>
  </si>
  <si>
    <t>LTV / CAC (meta: ≥ 3x)</t>
  </si>
  <si>
    <t>Payback do CAC (meses — meta: ≤ 12)</t>
  </si>
  <si>
    <t>Diagnóstico LTV/CAC</t>
  </si>
  <si>
    <t>Diagnóstico Payback</t>
  </si>
  <si>
    <t>FÓRMULAS DE REFERÊNCIA</t>
  </si>
  <si>
    <t>CAC</t>
  </si>
  <si>
    <t>Gastos V&amp;M × % dedicado a aquisição ÷ Novos clientes brutos</t>
  </si>
  <si>
    <t>LTV</t>
  </si>
  <si>
    <t>Ticket mensal × Margem bruta × Vida útil (meses)</t>
  </si>
  <si>
    <t>LTV/CAC</t>
  </si>
  <si>
    <t>Retorno em R$ que cada R$ 1 gasto em vendas gera ao longo da vida do cliente</t>
  </si>
  <si>
    <t>Payback</t>
  </si>
  <si>
    <t>Meses para recuperar o CAC via receita descontada da margem bruta</t>
  </si>
  <si>
    <t>Ticket médio</t>
  </si>
  <si>
    <t>Receita bruta anual ÷ base ativa média de clientes (NÃO é o preço do SOM)</t>
  </si>
  <si>
    <t>Vida útil</t>
  </si>
  <si>
    <t>1 / Churn mensal (em meses). Com 3%/mês → 33 meses.</t>
  </si>
  <si>
    <t>Break-Even, Fluxo Acumulado e Necessidade de Captação</t>
  </si>
  <si>
    <t>Linha</t>
  </si>
  <si>
    <t>Comentário</t>
  </si>
  <si>
    <t>RECEITA vs. CUSTO TOTAL (o descolamento)</t>
  </si>
  <si>
    <t>Custo total (COGS + OPEX + Outras) (R$)</t>
  </si>
  <si>
    <t>Δ (Receita − Custo) (R$)</t>
  </si>
  <si>
    <t>Break-even do ano? (Receita &gt; Custo)</t>
  </si>
  <si>
    <t>FLUXO DE CAIXA ACUMULADO E CAPTAÇÃO</t>
  </si>
  <si>
    <t>Fluxo de caixa anual (R$)</t>
  </si>
  <si>
    <t>Investimento inicial (Ano 0) (R$)</t>
  </si>
  <si>
    <t>Puxa de 4.Premissas de Investimento B1 (hoje: R$ 170k).</t>
  </si>
  <si>
    <t>Fluxo de caixa ACUMULADO (R$)</t>
  </si>
  <si>
    <t>Menor caixa acumulado no período (pico de queima)</t>
  </si>
  <si>
    <t>É o "vale" do gráfico de caixa acumulado. Vocês precisam de captação nesse valor absoluto.</t>
  </si>
  <si>
    <t>CAPTAÇÃO ADICIONAL NECESSÁRIA (Seed round) (R$)</t>
  </si>
  <si>
    <t>Este é o número que vocês vão pedir para o investidor. Com margem de segurança de 20%, some 20% em cima.</t>
  </si>
  <si>
    <t>Captação recomendada (com buffer +20%) (R$)</t>
  </si>
  <si>
    <t>ANO DE PAY-BACK DO INVESTIMENTO (fluxo acumulado &gt; 0)</t>
  </si>
  <si>
    <t>Payback do projeto (ano em que caixa acumulado vira positivo)</t>
  </si>
  <si>
    <t>ANÁLISE CRÍTICA — Investimento inicial é suficiente?</t>
  </si>
  <si>
    <t>Investimento inicial atual (aba 4)</t>
  </si>
  <si>
    <t>Gap: Captação necessária − Investimento atual (R$)</t>
  </si>
  <si>
    <t>Veredito</t>
  </si>
  <si>
    <t>COMO INTERPRETAR ESTA ABA</t>
  </si>
  <si>
    <t>• A curva Receita cruza a curva Custo no primeiro ano em que "Δ (Receita − Custo)" fica positivo (linha 9).</t>
  </si>
  <si>
    <t>• Isso valida o "descolamento" que o Prof. Marco A. cobrou na reunião: receita cresce em curva, custo cresce linear.</t>
  </si>
  <si>
    <t>• O pico de queima (linha 16) é o valor MAIS NEGATIVO do fluxo acumulado — é ali que vocês PRECISAM ter caixa.</t>
  </si>
  <si>
    <t>• A captação recomendada (linha 18) inclui buffer de 20% para imprevistos: overrun de custo, atraso de vendas.</t>
  </si>
  <si>
    <t>• Se o "Gap" (linha 25) for positivo, o R$ 170k inicial não fecha a conta. Vocês precisam pitchar essa diferença.</t>
  </si>
  <si>
    <t>Análise de Sensibilidade — 3 Cenários</t>
  </si>
  <si>
    <t>Variável</t>
  </si>
  <si>
    <t>Pessimista</t>
  </si>
  <si>
    <t>Base</t>
  </si>
  <si>
    <t>Otimista</t>
  </si>
  <si>
    <t>Justificativa</t>
  </si>
  <si>
    <t>MULTIPLICADORES POR CENÁRIO (amarelo = ajustável)</t>
  </si>
  <si>
    <t>Multiplicador de RECEITA vs. Base</t>
  </si>
  <si>
    <t>Pess: -40% (metade da aquisição prevista). Otim: +30% (upsell + expansão internacional).</t>
  </si>
  <si>
    <t>Multiplicador de CUSTO vs. Base</t>
  </si>
  <si>
    <t>Pess: +15% (contratação emergencial, dólar). Otim: -5% (eficiência com IA).</t>
  </si>
  <si>
    <t>Churn mensal</t>
  </si>
  <si>
    <t>Pess: 5% (concorrência entra forte). Base: 3% (premissa do colega). Otim: 2% (produto sticky).</t>
  </si>
  <si>
    <t>Ticket médio ANUAL (R$)</t>
  </si>
  <si>
    <t>Pess: 25% abaixo do ticket real do Ano 5. Base: ticket real do Ano 5. Otim: 35% acima do ticket real.</t>
  </si>
  <si>
    <t>RESULTADOS PROJETADOS — Ano 5</t>
  </si>
  <si>
    <t>Receita bruta Ano 5 (R$)</t>
  </si>
  <si>
    <t>Custo total Ano 5 (COGS + OPEX + Impostos + IR) (R$)</t>
  </si>
  <si>
    <t>Resultado líquido Ano 5 (R$)</t>
  </si>
  <si>
    <t>Margem líquida Ano 5 (%)</t>
  </si>
  <si>
    <t>UNIT ECONOMICS POR CENÁRIO</t>
  </si>
  <si>
    <t>Vida útil do cliente (meses)</t>
  </si>
  <si>
    <t>Ticket mensal (R$)</t>
  </si>
  <si>
    <t>Margem bruta % (estimada)</t>
  </si>
  <si>
    <t>LTV estimado (R$)</t>
  </si>
  <si>
    <t>CAC estimado (R$)</t>
  </si>
  <si>
    <t>LTV / CAC</t>
  </si>
  <si>
    <t>Diagnóstico</t>
  </si>
  <si>
    <t>TIR ESTIMADA POR CENÁRIO (5 anos)</t>
  </si>
  <si>
    <t>Investimento inicial (Ano 0)</t>
  </si>
  <si>
    <t>Fluxo Ano 1 (aprox.)</t>
  </si>
  <si>
    <t>Fluxo Ano 2 (aprox.)</t>
  </si>
  <si>
    <t>Fluxo Ano 3 (aprox.)</t>
  </si>
  <si>
    <t>Fluxo Ano 4 (aprox.)</t>
  </si>
  <si>
    <t>Fluxo Ano 5 (aprox.)</t>
  </si>
  <si>
    <t>TIR (5 anos)</t>
  </si>
  <si>
    <t>TMA (Taxa Mínima de Atratividade)</t>
  </si>
  <si>
    <t>Diagnóstico TIR vs. TMA</t>
  </si>
  <si>
    <t>RESUMO EXECUTIVO — o que dizer na banca</t>
  </si>
  <si>
    <t>Cenário Base</t>
  </si>
  <si>
    <t>É o modelo do colega intacto: multiplicadores todos em 1,0x. TIR e LTV/CAC dentro das metas.</t>
  </si>
  <si>
    <t>Cenário Otimista</t>
  </si>
  <si>
    <t>Assume expansão internacional e ticket 35% maior. Serve para mostrar upside — nunca é o número que se pitcha.</t>
  </si>
  <si>
    <t>Cenário Pessimista</t>
  </si>
  <si>
    <t>Assume aquisição -40%, churn 5%, custos +15%. É o que o investidor VAI perguntar. Se o modelo ainda gera valor aqui, ele é robusto.</t>
  </si>
  <si>
    <t>Ponto de defesa</t>
  </si>
  <si>
    <t>Se o pessimista der TIR &gt; 0 ou LTV/CAC &gt; 1, o modelo passa no stress test. Se der negativo, precisa rever premissas.</t>
  </si>
  <si>
    <t xml:space="preserve">20% ao ano — mais que a SELIC (15%).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</si>
</sst>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d\.m\."/>
    <numFmt numFmtId="165" formatCode="d\.m"/>
    <numFmt numFmtId="166" formatCode="[$R$ -416]#,##0.00"/>
    <numFmt numFmtId="167" formatCode="0.0%"/>
    <numFmt numFmtId="168" formatCode="mmm\-yy"/>
    <numFmt numFmtId="169" formatCode="m/d/yyyy"/>
    <numFmt numFmtId="170" formatCode="\$#,##0"/>
    <numFmt numFmtId="171" formatCode="\$#,##0.0"/>
    <numFmt numFmtId="172" formatCode="\$#,##0.00"/>
    <numFmt numFmtId="173" formatCode="0%;\(0%\)"/>
    <numFmt numFmtId="174" formatCode="_(\$* #,##0_);_(\$* \(#,##0\);_(\$* \-??_);_(@_)"/>
    <numFmt numFmtId="175" formatCode="&quot;R$ &quot;#,##0;[Red]&quot;-R$ &quot;#,##0"/>
    <numFmt numFmtId="176" formatCode="&quot;R$ &quot;#,##0.00;[Red]&quot;-R$ &quot;#,##0.00"/>
    <numFmt numFmtId="177" formatCode="&quot;R$ &quot;#,##0;[Red]&quot;-R$ &quot;#,##0;\-"/>
    <numFmt numFmtId="178" formatCode="#,##0.0"/>
    <numFmt numFmtId="179" formatCode="0.00\x"/>
    <numFmt numFmtId="180" formatCode="#,##0.0&quot; meses&quot;"/>
    <numFmt numFmtId="181" formatCode="&quot;R$ &quot;#,##0"/>
    <numFmt numFmtId="182" formatCode="0.0%;[Red]\-0.0%;\-"/>
  </numFmts>
  <fonts count="18" x14ac:knownFonts="1">
    <font>
      <sz val="11"/>
      <color theme="1"/>
      <name val="Calibri"/>
      <charset val="1"/>
    </font>
    <font>
      <b/>
      <sz val="11"/>
      <color theme="1"/>
      <name val="Montserrat"/>
      <charset val="1"/>
    </font>
    <font>
      <sz val="11"/>
      <color theme="1"/>
      <name val="Calibri"/>
      <family val="2"/>
      <charset val="1"/>
    </font>
    <font>
      <sz val="11"/>
      <color rgb="FF000000"/>
      <name val="Montserrat"/>
      <charset val="1"/>
    </font>
    <font>
      <sz val="11"/>
      <color theme="1"/>
      <name val="Montserrat"/>
      <charset val="1"/>
    </font>
    <font>
      <b/>
      <u/>
      <sz val="11"/>
      <color theme="1"/>
      <name val="Montserrat"/>
      <charset val="1"/>
    </font>
    <font>
      <sz val="10"/>
      <name val="Arial"/>
      <family val="2"/>
    </font>
    <font>
      <sz val="11"/>
      <color theme="1"/>
      <name val="Arial"/>
      <family val="2"/>
      <charset val="1"/>
    </font>
    <font>
      <i/>
      <sz val="11"/>
      <color theme="1"/>
      <name val="Montserrat"/>
      <charset val="1"/>
    </font>
    <font>
      <b/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000000"/>
      <name val="Arial"/>
      <charset val="1"/>
    </font>
    <font>
      <b/>
      <sz val="11"/>
      <color rgb="FF000000"/>
      <name val="Arial"/>
      <charset val="1"/>
    </font>
    <font>
      <sz val="10"/>
      <color rgb="FF000000"/>
      <name val="Arial"/>
      <charset val="1"/>
    </font>
    <font>
      <sz val="10"/>
      <color rgb="FF008000"/>
      <name val="Arial"/>
      <charset val="1"/>
    </font>
    <font>
      <sz val="10"/>
      <color rgb="FF0000FF"/>
      <name val="Arial"/>
      <charset val="1"/>
    </font>
    <font>
      <b/>
      <sz val="11"/>
      <color rgb="FFFFFFFF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E7E6E6"/>
        <bgColor rgb="FFEFEFEF"/>
      </patternFill>
    </fill>
    <fill>
      <patternFill patternType="solid">
        <fgColor rgb="FFFFFFFF"/>
        <bgColor rgb="FFF3F3F3"/>
      </patternFill>
    </fill>
    <fill>
      <patternFill patternType="solid">
        <fgColor rgb="FFFEF2CB"/>
        <bgColor rgb="FFF3F3F3"/>
      </patternFill>
    </fill>
    <fill>
      <patternFill patternType="solid">
        <fgColor rgb="FF595959"/>
        <bgColor rgb="FF757575"/>
      </patternFill>
    </fill>
    <fill>
      <patternFill patternType="solid">
        <fgColor rgb="FFF3F3F3"/>
        <bgColor rgb="FFEFEFEF"/>
      </patternFill>
    </fill>
    <fill>
      <patternFill patternType="solid">
        <fgColor rgb="FFD6DCE4"/>
        <bgColor rgb="FFD9D9D9"/>
      </patternFill>
    </fill>
    <fill>
      <patternFill patternType="solid">
        <fgColor rgb="FFEFEFEF"/>
        <bgColor rgb="FFF3F3F3"/>
      </patternFill>
    </fill>
    <fill>
      <patternFill patternType="solid">
        <fgColor rgb="FF1F4E78"/>
        <bgColor rgb="FF003366"/>
      </patternFill>
    </fill>
    <fill>
      <patternFill patternType="solid">
        <fgColor rgb="FFBDD7EE"/>
        <bgColor rgb="FFD6DCE4"/>
      </patternFill>
    </fill>
    <fill>
      <patternFill patternType="solid">
        <fgColor rgb="FFFFFF00"/>
        <bgColor rgb="FFFFFF00"/>
      </patternFill>
    </fill>
    <fill>
      <patternFill patternType="solid">
        <fgColor rgb="FFFFEB9C"/>
        <bgColor rgb="FFFEF2CB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29">
    <xf numFmtId="0" fontId="0" fillId="0" borderId="0" xfId="0"/>
    <xf numFmtId="0" fontId="12" fillId="0" borderId="0" xfId="0" applyFont="1" applyAlignment="1">
      <alignment horizontal="left" vertical="center" wrapText="1"/>
    </xf>
    <xf numFmtId="177" fontId="14" fillId="0" borderId="0" xfId="0" applyNumberFormat="1" applyFont="1"/>
    <xf numFmtId="0" fontId="12" fillId="0" borderId="0" xfId="0" applyFont="1" applyAlignment="1">
      <alignment horizontal="center" vertical="center" wrapText="1"/>
    </xf>
    <xf numFmtId="177" fontId="12" fillId="0" borderId="0" xfId="0" applyNumberFormat="1" applyFont="1"/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164" fontId="1" fillId="3" borderId="0" xfId="0" applyNumberFormat="1" applyFont="1" applyFill="1" applyAlignment="1">
      <alignment vertical="center"/>
    </xf>
    <xf numFmtId="0" fontId="3" fillId="3" borderId="0" xfId="0" applyFont="1" applyFill="1" applyAlignment="1">
      <alignment vertical="center"/>
    </xf>
    <xf numFmtId="165" fontId="1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vertical="center" wrapText="1"/>
    </xf>
    <xf numFmtId="0" fontId="1" fillId="3" borderId="0" xfId="0" applyFont="1" applyFill="1"/>
    <xf numFmtId="0" fontId="2" fillId="3" borderId="0" xfId="0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3" fontId="4" fillId="4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166" fontId="4" fillId="4" borderId="0" xfId="0" applyNumberFormat="1" applyFont="1" applyFill="1" applyAlignment="1">
      <alignment horizontal="center" vertical="center"/>
    </xf>
    <xf numFmtId="3" fontId="4" fillId="3" borderId="0" xfId="0" applyNumberFormat="1" applyFont="1" applyFill="1" applyAlignment="1">
      <alignment horizontal="center" vertical="center"/>
    </xf>
    <xf numFmtId="0" fontId="1" fillId="0" borderId="0" xfId="0" applyFont="1"/>
    <xf numFmtId="10" fontId="4" fillId="4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4" fillId="4" borderId="0" xfId="0" applyFont="1" applyFill="1" applyAlignment="1">
      <alignment vertical="center"/>
    </xf>
    <xf numFmtId="2" fontId="4" fillId="4" borderId="0" xfId="0" applyNumberFormat="1" applyFont="1" applyFill="1" applyAlignment="1">
      <alignment horizontal="center" vertical="center"/>
    </xf>
    <xf numFmtId="167" fontId="4" fillId="3" borderId="0" xfId="0" applyNumberFormat="1" applyFont="1" applyFill="1" applyAlignment="1">
      <alignment horizontal="center" vertical="center"/>
    </xf>
    <xf numFmtId="9" fontId="4" fillId="4" borderId="0" xfId="0" applyNumberFormat="1" applyFont="1" applyFill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167" fontId="1" fillId="4" borderId="0" xfId="0" applyNumberFormat="1" applyFont="1" applyFill="1" applyAlignment="1">
      <alignment horizontal="center" vertical="center"/>
    </xf>
    <xf numFmtId="3" fontId="1" fillId="3" borderId="0" xfId="0" applyNumberFormat="1" applyFont="1" applyFill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166" fontId="1" fillId="2" borderId="1" xfId="0" applyNumberFormat="1" applyFont="1" applyFill="1" applyBorder="1"/>
    <xf numFmtId="166" fontId="4" fillId="0" borderId="0" xfId="0" applyNumberFormat="1" applyFont="1"/>
    <xf numFmtId="167" fontId="4" fillId="0" borderId="0" xfId="0" applyNumberFormat="1" applyFont="1"/>
    <xf numFmtId="0" fontId="1" fillId="0" borderId="2" xfId="0" applyFont="1" applyBorder="1" applyAlignment="1">
      <alignment horizontal="right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166" fontId="1" fillId="0" borderId="2" xfId="0" applyNumberFormat="1" applyFont="1" applyBorder="1" applyAlignment="1">
      <alignment horizontal="center"/>
    </xf>
    <xf numFmtId="0" fontId="4" fillId="3" borderId="0" xfId="0" applyFont="1" applyFill="1"/>
    <xf numFmtId="168" fontId="4" fillId="3" borderId="0" xfId="0" applyNumberFormat="1" applyFont="1" applyFill="1"/>
    <xf numFmtId="166" fontId="4" fillId="3" borderId="0" xfId="0" applyNumberFormat="1" applyFont="1" applyFill="1"/>
    <xf numFmtId="167" fontId="4" fillId="3" borderId="0" xfId="0" applyNumberFormat="1" applyFont="1" applyFill="1"/>
    <xf numFmtId="4" fontId="4" fillId="0" borderId="0" xfId="0" applyNumberFormat="1" applyFont="1"/>
    <xf numFmtId="0" fontId="7" fillId="0" borderId="0" xfId="0" applyFont="1"/>
    <xf numFmtId="9" fontId="4" fillId="4" borderId="0" xfId="0" applyNumberFormat="1" applyFont="1" applyFill="1" applyAlignment="1">
      <alignment horizontal="center" vertical="center"/>
    </xf>
    <xf numFmtId="0" fontId="1" fillId="5" borderId="0" xfId="0" applyFont="1" applyFill="1"/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9" fontId="1" fillId="3" borderId="3" xfId="0" applyNumberFormat="1" applyFont="1" applyFill="1" applyBorder="1" applyAlignment="1">
      <alignment horizontal="center"/>
    </xf>
    <xf numFmtId="3" fontId="4" fillId="0" borderId="0" xfId="0" applyNumberFormat="1" applyFont="1"/>
    <xf numFmtId="3" fontId="4" fillId="3" borderId="0" xfId="0" applyNumberFormat="1" applyFont="1" applyFill="1"/>
    <xf numFmtId="1" fontId="4" fillId="3" borderId="0" xfId="0" applyNumberFormat="1" applyFont="1" applyFill="1"/>
    <xf numFmtId="1" fontId="4" fillId="0" borderId="0" xfId="0" applyNumberFormat="1" applyFont="1"/>
    <xf numFmtId="0" fontId="1" fillId="0" borderId="4" xfId="0" applyFont="1" applyBorder="1"/>
    <xf numFmtId="3" fontId="1" fillId="0" borderId="4" xfId="0" applyNumberFormat="1" applyFont="1" applyBorder="1"/>
    <xf numFmtId="170" fontId="4" fillId="0" borderId="0" xfId="0" applyNumberFormat="1" applyFont="1"/>
    <xf numFmtId="170" fontId="1" fillId="0" borderId="0" xfId="0" applyNumberFormat="1" applyFont="1"/>
    <xf numFmtId="2" fontId="4" fillId="6" borderId="0" xfId="0" applyNumberFormat="1" applyFont="1" applyFill="1"/>
    <xf numFmtId="170" fontId="1" fillId="0" borderId="4" xfId="0" applyNumberFormat="1" applyFont="1" applyBorder="1"/>
    <xf numFmtId="171" fontId="1" fillId="0" borderId="4" xfId="0" applyNumberFormat="1" applyFont="1" applyBorder="1"/>
    <xf numFmtId="0" fontId="8" fillId="0" borderId="0" xfId="0" applyFont="1"/>
    <xf numFmtId="0" fontId="8" fillId="0" borderId="0" xfId="0" applyFont="1" applyAlignment="1">
      <alignment horizontal="right"/>
    </xf>
    <xf numFmtId="10" fontId="8" fillId="0" borderId="0" xfId="0" applyNumberFormat="1" applyFont="1" applyAlignment="1">
      <alignment horizontal="right"/>
    </xf>
    <xf numFmtId="9" fontId="8" fillId="0" borderId="0" xfId="0" applyNumberFormat="1" applyFont="1" applyAlignment="1">
      <alignment horizontal="right"/>
    </xf>
    <xf numFmtId="0" fontId="9" fillId="0" borderId="0" xfId="0" applyFont="1"/>
    <xf numFmtId="171" fontId="1" fillId="0" borderId="0" xfId="0" applyNumberFormat="1" applyFont="1"/>
    <xf numFmtId="0" fontId="4" fillId="6" borderId="0" xfId="0" applyFont="1" applyFill="1"/>
    <xf numFmtId="0" fontId="2" fillId="0" borderId="4" xfId="0" applyFont="1" applyBorder="1"/>
    <xf numFmtId="171" fontId="1" fillId="0" borderId="4" xfId="0" applyNumberFormat="1" applyFont="1" applyBorder="1" applyAlignment="1">
      <alignment horizontal="center"/>
    </xf>
    <xf numFmtId="172" fontId="1" fillId="0" borderId="0" xfId="0" applyNumberFormat="1" applyFont="1"/>
    <xf numFmtId="170" fontId="4" fillId="3" borderId="0" xfId="0" applyNumberFormat="1" applyFont="1" applyFill="1"/>
    <xf numFmtId="170" fontId="4" fillId="6" borderId="0" xfId="0" applyNumberFormat="1" applyFont="1" applyFill="1"/>
    <xf numFmtId="0" fontId="1" fillId="3" borderId="4" xfId="0" applyFont="1" applyFill="1" applyBorder="1"/>
    <xf numFmtId="170" fontId="1" fillId="3" borderId="0" xfId="0" applyNumberFormat="1" applyFont="1" applyFill="1"/>
    <xf numFmtId="170" fontId="1" fillId="3" borderId="4" xfId="0" applyNumberFormat="1" applyFont="1" applyFill="1" applyBorder="1"/>
    <xf numFmtId="0" fontId="1" fillId="7" borderId="0" xfId="0" applyFont="1" applyFill="1"/>
    <xf numFmtId="170" fontId="1" fillId="7" borderId="0" xfId="0" applyNumberFormat="1" applyFont="1" applyFill="1"/>
    <xf numFmtId="173" fontId="8" fillId="0" borderId="0" xfId="0" applyNumberFormat="1" applyFont="1" applyAlignment="1">
      <alignment horizontal="right"/>
    </xf>
    <xf numFmtId="0" fontId="1" fillId="2" borderId="2" xfId="0" applyFont="1" applyFill="1" applyBorder="1"/>
    <xf numFmtId="170" fontId="4" fillId="8" borderId="0" xfId="0" applyNumberFormat="1" applyFont="1" applyFill="1"/>
    <xf numFmtId="170" fontId="1" fillId="0" borderId="2" xfId="0" applyNumberFormat="1" applyFont="1" applyBorder="1"/>
    <xf numFmtId="174" fontId="1" fillId="7" borderId="0" xfId="0" applyNumberFormat="1" applyFont="1" applyFill="1"/>
    <xf numFmtId="170" fontId="1" fillId="2" borderId="1" xfId="0" applyNumberFormat="1" applyFont="1" applyFill="1" applyBorder="1"/>
    <xf numFmtId="175" fontId="7" fillId="0" borderId="0" xfId="0" applyNumberFormat="1" applyFont="1" applyAlignment="1">
      <alignment horizontal="right"/>
    </xf>
    <xf numFmtId="9" fontId="1" fillId="2" borderId="1" xfId="0" applyNumberFormat="1" applyFont="1" applyFill="1" applyBorder="1"/>
    <xf numFmtId="176" fontId="7" fillId="0" borderId="0" xfId="0" applyNumberFormat="1" applyFont="1" applyAlignment="1">
      <alignment horizontal="right"/>
    </xf>
    <xf numFmtId="0" fontId="12" fillId="0" borderId="0" xfId="0" applyFont="1"/>
    <xf numFmtId="0" fontId="12" fillId="10" borderId="0" xfId="0" applyFont="1" applyFill="1" applyAlignment="1">
      <alignment horizontal="center" vertical="center" wrapText="1"/>
    </xf>
    <xf numFmtId="0" fontId="13" fillId="10" borderId="0" xfId="0" applyFont="1" applyFill="1" applyAlignment="1">
      <alignment horizontal="left" vertical="center" wrapText="1"/>
    </xf>
    <xf numFmtId="0" fontId="0" fillId="10" borderId="0" xfId="0" applyFill="1"/>
    <xf numFmtId="0" fontId="14" fillId="0" borderId="0" xfId="0" applyFont="1"/>
    <xf numFmtId="177" fontId="15" fillId="0" borderId="0" xfId="0" applyNumberFormat="1" applyFont="1"/>
    <xf numFmtId="0" fontId="11" fillId="0" borderId="0" xfId="0" applyFont="1"/>
    <xf numFmtId="178" fontId="15" fillId="0" borderId="0" xfId="0" applyNumberFormat="1" applyFont="1"/>
    <xf numFmtId="167" fontId="16" fillId="11" borderId="0" xfId="0" applyNumberFormat="1" applyFont="1" applyFill="1"/>
    <xf numFmtId="1" fontId="16" fillId="11" borderId="0" xfId="0" applyNumberFormat="1" applyFont="1" applyFill="1"/>
    <xf numFmtId="9" fontId="16" fillId="11" borderId="0" xfId="0" applyNumberFormat="1" applyFont="1" applyFill="1"/>
    <xf numFmtId="178" fontId="14" fillId="0" borderId="0" xfId="0" applyNumberFormat="1" applyFont="1"/>
    <xf numFmtId="167" fontId="14" fillId="0" borderId="0" xfId="0" applyNumberFormat="1" applyFont="1"/>
    <xf numFmtId="179" fontId="12" fillId="0" borderId="0" xfId="0" applyNumberFormat="1" applyFont="1"/>
    <xf numFmtId="180" fontId="12" fillId="0" borderId="0" xfId="0" applyNumberFormat="1" applyFont="1"/>
    <xf numFmtId="0" fontId="17" fillId="9" borderId="0" xfId="0" applyFont="1" applyFill="1" applyAlignment="1">
      <alignment horizontal="center" vertical="center" wrapText="1"/>
    </xf>
    <xf numFmtId="0" fontId="12" fillId="10" borderId="0" xfId="0" applyFont="1" applyFill="1"/>
    <xf numFmtId="2" fontId="16" fillId="11" borderId="0" xfId="0" applyNumberFormat="1" applyFont="1" applyFill="1"/>
    <xf numFmtId="181" fontId="16" fillId="11" borderId="0" xfId="0" applyNumberFormat="1" applyFont="1" applyFill="1"/>
    <xf numFmtId="182" fontId="12" fillId="0" borderId="0" xfId="0" applyNumberFormat="1" applyFont="1"/>
    <xf numFmtId="0" fontId="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10" fillId="9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3" fillId="10" borderId="0" xfId="0" applyFont="1" applyFill="1"/>
    <xf numFmtId="0" fontId="12" fillId="0" borderId="0" xfId="0" applyFont="1" applyAlignment="1">
      <alignment horizontal="center" vertical="center" wrapText="1"/>
    </xf>
    <xf numFmtId="181" fontId="15" fillId="0" borderId="0" xfId="0" applyNumberFormat="1" applyFont="1"/>
    <xf numFmtId="177" fontId="14" fillId="0" borderId="0" xfId="0" applyNumberFormat="1" applyFont="1"/>
    <xf numFmtId="0" fontId="12" fillId="0" borderId="0" xfId="0" applyFont="1" applyAlignment="1">
      <alignment horizontal="left" vertical="center" wrapText="1"/>
    </xf>
    <xf numFmtId="177" fontId="12" fillId="12" borderId="0" xfId="0" applyNumberFormat="1" applyFont="1" applyFill="1"/>
    <xf numFmtId="177" fontId="17" fillId="9" borderId="0" xfId="0" applyNumberFormat="1" applyFont="1" applyFill="1"/>
    <xf numFmtId="177" fontId="1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57575"/>
      <rgbColor rgb="FF9999FF"/>
      <rgbColor rgb="FF993366"/>
      <rgbColor rgb="FFFEF2CB"/>
      <rgbColor rgb="FFEFEFE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E7E6E6"/>
      <rgbColor rgb="FFFFEB9C"/>
      <rgbColor rgb="FFD6DCE4"/>
      <rgbColor rgb="FFFF99CC"/>
      <rgbColor rgb="FFCC99FF"/>
      <rgbColor rgb="FFD9D9D9"/>
      <rgbColor rgb="FF4472C4"/>
      <rgbColor rgb="FF33CCCC"/>
      <rgbColor rgb="FF99CC00"/>
      <rgbColor rgb="FFFFCC00"/>
      <rgbColor rgb="FFFF9900"/>
      <rgbColor rgb="FFED7D31"/>
      <rgbColor rgb="FF595959"/>
      <rgbColor rgb="FF8B8B8B"/>
      <rgbColor rgb="FF003366"/>
      <rgbColor rgb="FF339966"/>
      <rgbColor rgb="FF003300"/>
      <rgbColor rgb="FF333300"/>
      <rgbColor rgb="FF993300"/>
      <rgbColor rgb="FF993366"/>
      <rgbColor rgb="FF1F4E78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0" u="none" strike="noStrike">
                <a:solidFill>
                  <a:srgbClr val="757575"/>
                </a:solidFill>
                <a:uFillTx/>
                <a:latin typeface="Arial"/>
                <a:ea typeface="Calibri"/>
              </a:rPr>
              <a:t>Receitas Brutas e Lucro/Prejuízo Líquido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1290863369656"/>
          <c:y val="8.6192109777015399E-2"/>
          <c:w val="0.62316638725901097"/>
          <c:h val="0.768010291595196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Resumo!$A$5</c:f>
              <c:strCache>
                <c:ptCount val="1"/>
                <c:pt idx="0">
                  <c:v>Receitas Brutas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Resumo!$B$4:$G$4</c:f>
              <c:strCache>
                <c:ptCount val="6"/>
                <c:pt idx="1">
                  <c:v>Ano 01</c:v>
                </c:pt>
                <c:pt idx="2">
                  <c:v>Ano 02</c:v>
                </c:pt>
                <c:pt idx="3">
                  <c:v>Ano 03</c:v>
                </c:pt>
                <c:pt idx="4">
                  <c:v>Ano 04</c:v>
                </c:pt>
                <c:pt idx="5">
                  <c:v>Ano 05</c:v>
                </c:pt>
              </c:strCache>
            </c:strRef>
          </c:cat>
          <c:val>
            <c:numRef>
              <c:f>Resumo!$B$5:$G$5</c:f>
              <c:numCache>
                <c:formatCode>\$#,##0</c:formatCode>
                <c:ptCount val="6"/>
                <c:pt idx="1">
                  <c:v>446164.29467915185</c:v>
                </c:pt>
                <c:pt idx="2">
                  <c:v>1249874.3984998595</c:v>
                </c:pt>
                <c:pt idx="3">
                  <c:v>2805786.8037228324</c:v>
                </c:pt>
                <c:pt idx="4">
                  <c:v>5390282.7851508055</c:v>
                </c:pt>
                <c:pt idx="5">
                  <c:v>9504461.6928311978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F7-467B-86FA-AA7D8E441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529066"/>
        <c:axId val="97017950"/>
      </c:barChart>
      <c:lineChart>
        <c:grouping val="standard"/>
        <c:varyColors val="0"/>
        <c:ser>
          <c:idx val="1"/>
          <c:order val="1"/>
          <c:tx>
            <c:strRef>
              <c:f>Resumo!$A$6</c:f>
              <c:strCache>
                <c:ptCount val="1"/>
                <c:pt idx="0">
                  <c:v>(-) Impostos</c:v>
                </c:pt>
              </c:strCache>
            </c:strRef>
          </c:tx>
          <c:spPr>
            <a:ln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Resumo!$B$4:$G$4</c:f>
              <c:strCache>
                <c:ptCount val="6"/>
                <c:pt idx="1">
                  <c:v>Ano 01</c:v>
                </c:pt>
                <c:pt idx="2">
                  <c:v>Ano 02</c:v>
                </c:pt>
                <c:pt idx="3">
                  <c:v>Ano 03</c:v>
                </c:pt>
                <c:pt idx="4">
                  <c:v>Ano 04</c:v>
                </c:pt>
                <c:pt idx="5">
                  <c:v>Ano 05</c:v>
                </c:pt>
              </c:strCache>
            </c:strRef>
          </c:cat>
          <c:val>
            <c:numRef>
              <c:f>Resumo!$B$6:$G$6</c:f>
              <c:numCache>
                <c:formatCode>\$#,##0</c:formatCode>
                <c:ptCount val="6"/>
                <c:pt idx="1">
                  <c:v>22308.214733957593</c:v>
                </c:pt>
                <c:pt idx="2">
                  <c:v>62493.719924992976</c:v>
                </c:pt>
                <c:pt idx="3">
                  <c:v>140289.34018614164</c:v>
                </c:pt>
                <c:pt idx="4">
                  <c:v>539028.27851508057</c:v>
                </c:pt>
                <c:pt idx="5">
                  <c:v>950446.16928311985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AF7-467B-86FA-AA7D8E441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0529066"/>
        <c:axId val="97017950"/>
      </c:lineChart>
      <c:catAx>
        <c:axId val="705290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Calibri"/>
              </a:defRPr>
            </a:pPr>
            <a:endParaRPr lang="pt-BR"/>
          </a:p>
        </c:txPr>
        <c:crossAx val="97017950"/>
        <c:crosses val="autoZero"/>
        <c:auto val="1"/>
        <c:lblAlgn val="ctr"/>
        <c:lblOffset val="100"/>
        <c:noMultiLvlLbl val="0"/>
      </c:catAx>
      <c:valAx>
        <c:axId val="97017950"/>
        <c:scaling>
          <c:orientation val="minMax"/>
        </c:scaling>
        <c:delete val="0"/>
        <c:axPos val="l"/>
        <c:minorGridlines>
          <c:spPr>
            <a:ln w="6480">
              <a:solidFill>
                <a:srgbClr val="CCCCCC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.##000;\(#.##000\)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Calibri"/>
              </a:defRPr>
            </a:pPr>
            <a:endParaRPr lang="pt-BR"/>
          </a:p>
        </c:txPr>
        <c:crossAx val="705290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Calibri"/>
              <a:ea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66676</xdr:colOff>
      <xdr:row>0</xdr:row>
      <xdr:rowOff>95400</xdr:rowOff>
    </xdr:from>
    <xdr:to>
      <xdr:col>15</xdr:col>
      <xdr:colOff>266700</xdr:colOff>
      <xdr:row>19</xdr:row>
      <xdr:rowOff>63360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3"/>
  <sheetViews>
    <sheetView tabSelected="1" zoomScaleNormal="100" workbookViewId="0">
      <selection activeCell="G17" sqref="G17"/>
    </sheetView>
  </sheetViews>
  <sheetFormatPr defaultColWidth="14.42578125" defaultRowHeight="15" customHeight="1" x14ac:dyDescent="0.25"/>
  <cols>
    <col min="2" max="2" width="156.85546875" customWidth="1"/>
  </cols>
  <sheetData>
    <row r="1" spans="1:19" ht="30.75" customHeight="1" x14ac:dyDescent="0.25">
      <c r="A1" s="7" t="s">
        <v>0</v>
      </c>
      <c r="B1" s="7" t="s">
        <v>1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30.75" customHeight="1" x14ac:dyDescent="0.25">
      <c r="A2" s="9" t="s">
        <v>2</v>
      </c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19" ht="15" customHeight="1" x14ac:dyDescent="0.25">
      <c r="A3" s="7" t="s">
        <v>3</v>
      </c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ht="15" customHeight="1" x14ac:dyDescent="0.25">
      <c r="A4" s="11">
        <v>45658</v>
      </c>
      <c r="B4" s="12" t="s">
        <v>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19" ht="15" customHeight="1" x14ac:dyDescent="0.25">
      <c r="A5" s="13">
        <v>45689</v>
      </c>
      <c r="B5" s="14" t="s">
        <v>5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19" ht="30" customHeight="1" x14ac:dyDescent="0.25">
      <c r="A6" s="13">
        <v>45717</v>
      </c>
      <c r="B6" s="15" t="s">
        <v>6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spans="1:19" ht="15" customHeight="1" x14ac:dyDescent="0.25">
      <c r="A7" s="7" t="s">
        <v>7</v>
      </c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spans="1:19" ht="15" customHeight="1" x14ac:dyDescent="0.25">
      <c r="A8" s="13">
        <v>45659</v>
      </c>
      <c r="B8" s="14" t="s">
        <v>8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spans="1:19" ht="15" customHeight="1" x14ac:dyDescent="0.25">
      <c r="A9" s="13">
        <v>45690</v>
      </c>
      <c r="B9" s="15" t="s">
        <v>9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</row>
    <row r="10" spans="1:19" ht="30" customHeight="1" x14ac:dyDescent="0.25">
      <c r="A10" s="13">
        <v>45718</v>
      </c>
      <c r="B10" s="15" t="s">
        <v>10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 spans="1:19" ht="30" customHeight="1" x14ac:dyDescent="0.25">
      <c r="A11" s="13">
        <v>45749</v>
      </c>
      <c r="B11" s="15" t="s">
        <v>11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spans="1:19" ht="15" customHeight="1" x14ac:dyDescent="0.25">
      <c r="A12" s="7" t="s">
        <v>12</v>
      </c>
      <c r="B12" s="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1:19" ht="15" customHeight="1" x14ac:dyDescent="0.25">
      <c r="A13" s="13">
        <v>45660</v>
      </c>
      <c r="B13" s="14" t="s">
        <v>13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spans="1:19" ht="15" customHeight="1" x14ac:dyDescent="0.25">
      <c r="A14" s="13">
        <v>45691</v>
      </c>
      <c r="B14" s="14" t="s">
        <v>14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 spans="1:19" ht="15" customHeight="1" x14ac:dyDescent="0.25">
      <c r="A15" s="13">
        <v>45719</v>
      </c>
      <c r="B15" s="14" t="s">
        <v>15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 spans="1:19" ht="15" customHeight="1" x14ac:dyDescent="0.25">
      <c r="A16" s="7" t="s">
        <v>16</v>
      </c>
      <c r="B16" s="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spans="1:19" ht="15" customHeight="1" x14ac:dyDescent="0.25">
      <c r="A17" s="13">
        <v>45661</v>
      </c>
      <c r="B17" s="14" t="s">
        <v>17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</row>
    <row r="18" spans="1:19" ht="15" customHeight="1" x14ac:dyDescent="0.35">
      <c r="A18" s="16"/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</row>
    <row r="19" spans="1:19" ht="15" customHeight="1" x14ac:dyDescent="0.35">
      <c r="A19" s="16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</row>
    <row r="20" spans="1:19" ht="15" customHeight="1" x14ac:dyDescent="0.35">
      <c r="A20" s="16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</row>
    <row r="21" spans="1:19" ht="15" customHeight="1" x14ac:dyDescent="0.35">
      <c r="A21" s="16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</row>
    <row r="22" spans="1:19" ht="15" customHeight="1" x14ac:dyDescent="0.35">
      <c r="A22" s="16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</row>
    <row r="23" spans="1:19" ht="15" customHeight="1" x14ac:dyDescent="0.35">
      <c r="A23" s="16"/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</row>
    <row r="24" spans="1:19" ht="15" customHeight="1" x14ac:dyDescent="0.35">
      <c r="A24" s="16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</row>
    <row r="25" spans="1:19" ht="15" customHeight="1" x14ac:dyDescent="0.35">
      <c r="A25" s="16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</row>
    <row r="26" spans="1:19" ht="15" customHeight="1" x14ac:dyDescent="0.35">
      <c r="A26" s="16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</row>
    <row r="27" spans="1:19" ht="15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</row>
    <row r="28" spans="1:19" ht="15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</row>
    <row r="29" spans="1:19" ht="15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</row>
    <row r="30" spans="1:19" ht="15" customHeight="1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</row>
    <row r="31" spans="1:19" ht="15" customHeigh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</row>
    <row r="32" spans="1:19" ht="15" customHeight="1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</row>
    <row r="33" spans="1:19" ht="15" customHeight="1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</row>
    <row r="34" spans="1:19" ht="15" customHeight="1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</row>
    <row r="35" spans="1:19" ht="15" customHeight="1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6" spans="1:19" ht="15" customHeight="1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</row>
    <row r="37" spans="1:19" ht="1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</row>
    <row r="38" spans="1:19" ht="15" customHeight="1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</row>
    <row r="39" spans="1:19" ht="15" customHeight="1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</row>
    <row r="40" spans="1:19" ht="15" customHeight="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</row>
    <row r="41" spans="1:19" ht="15" customHeight="1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</row>
    <row r="42" spans="1:19" ht="15" customHeight="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</row>
    <row r="43" spans="1:19" ht="15" customHeight="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</row>
    <row r="44" spans="1:19" ht="15" customHeight="1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</row>
    <row r="45" spans="1:19" ht="15" customHeight="1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</row>
    <row r="46" spans="1:19" ht="15" customHeight="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</row>
    <row r="47" spans="1:19" ht="15" customHeight="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</row>
    <row r="48" spans="1:19" ht="15" customHeight="1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</row>
    <row r="49" spans="1:19" ht="15" customHeight="1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</row>
    <row r="50" spans="1:19" ht="15" customHeight="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</row>
    <row r="51" spans="1:19" ht="15" customHeight="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</row>
    <row r="52" spans="1:19" ht="15" customHeigh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</row>
    <row r="53" spans="1:19" ht="15" customHeigh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</row>
    <row r="54" spans="1:19" ht="15" customHeigh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</row>
    <row r="55" spans="1:19" ht="15" customHeigh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</row>
    <row r="56" spans="1:19" ht="15" customHeigh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</row>
    <row r="57" spans="1:19" ht="15" customHeigh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</row>
    <row r="58" spans="1:19" ht="15" customHeigh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</row>
    <row r="59" spans="1:19" ht="15" customHeigh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</row>
    <row r="60" spans="1:19" ht="15" customHeight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</row>
    <row r="61" spans="1:19" ht="15" customHeigh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</row>
    <row r="62" spans="1:19" ht="15" customHeigh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</row>
    <row r="63" spans="1:19" ht="15" customHeigh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</row>
    <row r="64" spans="1:19" ht="15" customHeight="1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</row>
    <row r="65" spans="1:19" ht="15" customHeight="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</row>
    <row r="66" spans="1:19" ht="15" customHeight="1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</row>
    <row r="67" spans="1:19" ht="15" customHeight="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</row>
    <row r="68" spans="1:19" ht="15" customHeight="1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</row>
    <row r="69" spans="1:19" ht="15" customHeight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</row>
    <row r="70" spans="1:19" ht="15" customHeight="1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</row>
    <row r="71" spans="1:19" ht="15" customHeight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</row>
    <row r="72" spans="1:19" ht="15" customHeight="1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</row>
    <row r="73" spans="1:19" ht="15" customHeight="1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</row>
    <row r="74" spans="1:19" ht="15" customHeight="1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</row>
    <row r="75" spans="1:19" ht="15" customHeight="1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</row>
    <row r="76" spans="1:19" ht="15" customHeight="1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</row>
    <row r="77" spans="1:19" ht="15" customHeight="1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</row>
    <row r="78" spans="1:19" ht="15" customHeight="1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</row>
    <row r="79" spans="1:19" ht="15" customHeight="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</row>
    <row r="80" spans="1:19" ht="15" customHeight="1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</row>
    <row r="81" spans="1:19" ht="15" customHeight="1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</row>
    <row r="82" spans="1:19" ht="15" customHeight="1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</row>
    <row r="83" spans="1:19" ht="15" customHeight="1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</row>
    <row r="84" spans="1:19" ht="15" customHeight="1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</row>
    <row r="85" spans="1:19" ht="15" customHeight="1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</row>
    <row r="86" spans="1:19" ht="15" customHeight="1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</row>
    <row r="87" spans="1:19" ht="15" customHeight="1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</row>
    <row r="88" spans="1:19" ht="15" customHeight="1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</row>
    <row r="89" spans="1:19" ht="15" customHeight="1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</row>
    <row r="90" spans="1:19" ht="15" customHeight="1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</row>
    <row r="91" spans="1:19" ht="15" customHeight="1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</row>
    <row r="92" spans="1:19" ht="15" customHeight="1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</row>
    <row r="93" spans="1:19" ht="15" customHeight="1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</row>
    <row r="94" spans="1:19" ht="15" customHeight="1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</row>
    <row r="95" spans="1:19" ht="15" customHeight="1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</row>
    <row r="96" spans="1:19" ht="15" customHeight="1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</row>
    <row r="97" spans="1:19" ht="15" customHeight="1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</row>
    <row r="98" spans="1:19" ht="15" customHeight="1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</row>
    <row r="99" spans="1:19" ht="15" customHeight="1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</row>
    <row r="100" spans="1:19" ht="15" customHeight="1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</row>
    <row r="101" spans="1:19" ht="15" customHeight="1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</row>
    <row r="102" spans="1:19" ht="15" customHeight="1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</row>
    <row r="103" spans="1:19" ht="15" customHeight="1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</row>
    <row r="104" spans="1:19" ht="15" customHeight="1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</row>
    <row r="105" spans="1:19" ht="15" customHeight="1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</row>
    <row r="106" spans="1:19" ht="15" customHeight="1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</row>
    <row r="107" spans="1:19" ht="15" customHeight="1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</row>
    <row r="108" spans="1:19" ht="15" customHeight="1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</row>
    <row r="109" spans="1:19" ht="15" customHeight="1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</row>
    <row r="110" spans="1:19" ht="15" customHeight="1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</row>
    <row r="111" spans="1:19" ht="15" customHeight="1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</row>
    <row r="112" spans="1:19" ht="15" customHeight="1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</row>
    <row r="113" spans="1:19" ht="15" customHeight="1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</row>
    <row r="114" spans="1:19" ht="15" customHeight="1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</row>
    <row r="115" spans="1:19" ht="15" customHeight="1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</row>
    <row r="116" spans="1:19" ht="15" customHeight="1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</row>
    <row r="117" spans="1:19" ht="15" customHeight="1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</row>
    <row r="118" spans="1:19" ht="15" customHeight="1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</row>
    <row r="119" spans="1:19" ht="15" customHeight="1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</row>
    <row r="120" spans="1:19" ht="15" customHeight="1" x14ac:dyDescent="0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</row>
    <row r="121" spans="1:19" ht="15" customHeight="1" x14ac:dyDescent="0.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</row>
    <row r="122" spans="1:19" ht="15" customHeight="1" x14ac:dyDescent="0.2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</row>
    <row r="123" spans="1:19" ht="15" customHeight="1" x14ac:dyDescent="0.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</row>
    <row r="124" spans="1:19" ht="15" customHeight="1" x14ac:dyDescent="0.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</row>
    <row r="125" spans="1:19" ht="15" customHeight="1" x14ac:dyDescent="0.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</row>
    <row r="126" spans="1:19" ht="15" customHeight="1" x14ac:dyDescent="0.2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</row>
    <row r="127" spans="1:19" ht="15" customHeight="1" x14ac:dyDescent="0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</row>
    <row r="128" spans="1:19" ht="15" customHeight="1" x14ac:dyDescent="0.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</row>
    <row r="129" spans="1:19" ht="15" customHeight="1" x14ac:dyDescent="0.2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</row>
    <row r="130" spans="1:19" ht="15" customHeight="1" x14ac:dyDescent="0.2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</row>
    <row r="131" spans="1:19" ht="15" customHeight="1" x14ac:dyDescent="0.2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</row>
    <row r="132" spans="1:19" ht="15" customHeight="1" x14ac:dyDescent="0.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</row>
    <row r="133" spans="1:19" ht="15" customHeight="1" x14ac:dyDescent="0.2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</row>
    <row r="134" spans="1:19" ht="15" customHeight="1" x14ac:dyDescent="0.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</row>
    <row r="135" spans="1:19" ht="15" customHeight="1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</row>
    <row r="136" spans="1:19" ht="15" customHeight="1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</row>
    <row r="137" spans="1:19" ht="15" customHeight="1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</row>
    <row r="138" spans="1:19" ht="15" customHeight="1" x14ac:dyDescent="0.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</row>
    <row r="139" spans="1:19" ht="15" customHeight="1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</row>
    <row r="140" spans="1:19" ht="15" customHeight="1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</row>
    <row r="141" spans="1:19" ht="15" customHeight="1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</row>
    <row r="142" spans="1:19" ht="15" customHeight="1" x14ac:dyDescent="0.2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</row>
    <row r="143" spans="1:19" ht="15" customHeight="1" x14ac:dyDescent="0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</row>
    <row r="144" spans="1:19" ht="15" customHeight="1" x14ac:dyDescent="0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</row>
    <row r="145" spans="1:19" ht="15" customHeight="1" x14ac:dyDescent="0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</row>
    <row r="146" spans="1:19" ht="15" customHeight="1" x14ac:dyDescent="0.2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</row>
    <row r="147" spans="1:19" ht="15" customHeight="1" x14ac:dyDescent="0.2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</row>
    <row r="148" spans="1:19" ht="15" customHeight="1" x14ac:dyDescent="0.2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</row>
    <row r="149" spans="1:19" ht="15" customHeight="1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</row>
    <row r="150" spans="1:19" ht="15" customHeight="1" x14ac:dyDescent="0.2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</row>
    <row r="151" spans="1:19" ht="15" customHeight="1" x14ac:dyDescent="0.2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</row>
    <row r="152" spans="1:19" ht="15" customHeight="1" x14ac:dyDescent="0.2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</row>
    <row r="153" spans="1:19" ht="15" customHeight="1" x14ac:dyDescent="0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</row>
    <row r="154" spans="1:19" ht="15" customHeight="1" x14ac:dyDescent="0.2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</row>
    <row r="155" spans="1:19" ht="15" customHeight="1" x14ac:dyDescent="0.2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</row>
    <row r="156" spans="1:19" ht="15" customHeight="1" x14ac:dyDescent="0.2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</row>
    <row r="157" spans="1:19" ht="15" customHeight="1" x14ac:dyDescent="0.2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</row>
    <row r="158" spans="1:19" ht="15" customHeight="1" x14ac:dyDescent="0.2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</row>
    <row r="159" spans="1:19" ht="15" customHeight="1" x14ac:dyDescent="0.2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</row>
    <row r="160" spans="1:19" ht="15" customHeight="1" x14ac:dyDescent="0.2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</row>
    <row r="161" spans="1:19" ht="15" customHeight="1" x14ac:dyDescent="0.2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</row>
    <row r="162" spans="1:19" ht="15" customHeight="1" x14ac:dyDescent="0.2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</row>
    <row r="163" spans="1:19" ht="15" customHeight="1" x14ac:dyDescent="0.2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</row>
    <row r="164" spans="1:19" ht="15" customHeight="1" x14ac:dyDescent="0.2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</row>
    <row r="165" spans="1:19" ht="15" customHeight="1" x14ac:dyDescent="0.2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</row>
    <row r="166" spans="1:19" ht="15" customHeight="1" x14ac:dyDescent="0.2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</row>
    <row r="167" spans="1:19" ht="15" customHeight="1" x14ac:dyDescent="0.2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</row>
    <row r="168" spans="1:19" ht="15" customHeight="1" x14ac:dyDescent="0.2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</row>
    <row r="169" spans="1:19" ht="15" customHeight="1" x14ac:dyDescent="0.2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</row>
    <row r="170" spans="1:19" ht="15" customHeight="1" x14ac:dyDescent="0.2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</row>
    <row r="171" spans="1:19" ht="15" customHeight="1" x14ac:dyDescent="0.2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</row>
    <row r="172" spans="1:19" ht="15" customHeight="1" x14ac:dyDescent="0.2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</row>
    <row r="173" spans="1:19" ht="15" customHeight="1" x14ac:dyDescent="0.2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</row>
    <row r="174" spans="1:19" ht="15" customHeight="1" x14ac:dyDescent="0.2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</row>
    <row r="175" spans="1:19" ht="15" customHeight="1" x14ac:dyDescent="0.2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</row>
    <row r="176" spans="1:19" ht="15" customHeight="1" x14ac:dyDescent="0.2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</row>
    <row r="177" spans="1:19" ht="15" customHeight="1" x14ac:dyDescent="0.2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</row>
    <row r="178" spans="1:19" ht="15" customHeight="1" x14ac:dyDescent="0.2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</row>
    <row r="179" spans="1:19" ht="15" customHeight="1" x14ac:dyDescent="0.2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</row>
    <row r="180" spans="1:19" ht="15" customHeight="1" x14ac:dyDescent="0.2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</row>
    <row r="181" spans="1:19" ht="15" customHeight="1" x14ac:dyDescent="0.2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</row>
    <row r="182" spans="1:19" ht="15" customHeight="1" x14ac:dyDescent="0.2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</row>
    <row r="183" spans="1:19" ht="15" customHeight="1" x14ac:dyDescent="0.2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</row>
    <row r="184" spans="1:19" ht="15" customHeight="1" x14ac:dyDescent="0.2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</row>
    <row r="185" spans="1:19" ht="15" customHeight="1" x14ac:dyDescent="0.2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</row>
    <row r="186" spans="1:19" ht="15" customHeight="1" x14ac:dyDescent="0.2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</row>
    <row r="187" spans="1:19" ht="15" customHeight="1" x14ac:dyDescent="0.2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</row>
    <row r="188" spans="1:19" ht="15" customHeight="1" x14ac:dyDescent="0.2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</row>
    <row r="189" spans="1:19" ht="15" customHeight="1" x14ac:dyDescent="0.2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</row>
    <row r="190" spans="1:19" ht="15" customHeight="1" x14ac:dyDescent="0.2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</row>
    <row r="191" spans="1:19" ht="15" customHeight="1" x14ac:dyDescent="0.2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</row>
    <row r="192" spans="1:19" ht="15" customHeight="1" x14ac:dyDescent="0.2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</row>
    <row r="193" spans="1:19" ht="15" customHeight="1" x14ac:dyDescent="0.2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</row>
    <row r="194" spans="1:19" ht="15" customHeight="1" x14ac:dyDescent="0.2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</row>
    <row r="195" spans="1:19" ht="15" customHeight="1" x14ac:dyDescent="0.2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</row>
    <row r="196" spans="1:19" ht="15" customHeight="1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</row>
    <row r="197" spans="1:19" ht="15" customHeight="1" x14ac:dyDescent="0.2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</row>
    <row r="198" spans="1:19" ht="15" customHeight="1" x14ac:dyDescent="0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</row>
    <row r="199" spans="1:19" ht="15" customHeight="1" x14ac:dyDescent="0.2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</row>
    <row r="200" spans="1:19" ht="15" customHeight="1" x14ac:dyDescent="0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</row>
    <row r="201" spans="1:19" ht="15" customHeight="1" x14ac:dyDescent="0.2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</row>
    <row r="202" spans="1:19" ht="15" customHeight="1" x14ac:dyDescent="0.2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</row>
    <row r="203" spans="1:19" ht="15" customHeight="1" x14ac:dyDescent="0.2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</row>
    <row r="204" spans="1:19" ht="15" customHeight="1" x14ac:dyDescent="0.2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</row>
    <row r="205" spans="1:19" ht="15" customHeight="1" x14ac:dyDescent="0.2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</row>
    <row r="206" spans="1:19" ht="15" customHeight="1" x14ac:dyDescent="0.2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</row>
    <row r="207" spans="1:19" ht="15" customHeight="1" x14ac:dyDescent="0.2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</row>
    <row r="208" spans="1:19" ht="15" customHeight="1" x14ac:dyDescent="0.2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</row>
    <row r="209" spans="1:19" ht="15" customHeight="1" x14ac:dyDescent="0.2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</row>
    <row r="210" spans="1:19" ht="15" customHeight="1" x14ac:dyDescent="0.2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</row>
    <row r="211" spans="1:19" ht="15" customHeight="1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</row>
    <row r="212" spans="1:19" ht="15" customHeight="1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</row>
    <row r="213" spans="1:19" ht="15" customHeight="1" x14ac:dyDescent="0.2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</row>
    <row r="214" spans="1:19" ht="15" customHeight="1" x14ac:dyDescent="0.2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</row>
    <row r="215" spans="1:19" ht="15" customHeight="1" x14ac:dyDescent="0.2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</row>
    <row r="216" spans="1:19" ht="15" customHeight="1" x14ac:dyDescent="0.2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</row>
    <row r="217" spans="1:19" ht="15" customHeight="1" x14ac:dyDescent="0.2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</row>
    <row r="218" spans="1:19" ht="15" customHeight="1" x14ac:dyDescent="0.2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</row>
    <row r="219" spans="1:19" ht="15" customHeight="1" x14ac:dyDescent="0.2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</row>
    <row r="220" spans="1:19" ht="15" customHeight="1" x14ac:dyDescent="0.2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</row>
    <row r="221" spans="1:19" ht="15" customHeight="1" x14ac:dyDescent="0.2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</row>
    <row r="222" spans="1:19" ht="15" customHeight="1" x14ac:dyDescent="0.2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</row>
    <row r="223" spans="1:19" ht="15" customHeight="1" x14ac:dyDescent="0.2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</row>
    <row r="224" spans="1:19" ht="15" customHeight="1" x14ac:dyDescent="0.2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</row>
    <row r="225" spans="1:19" ht="15" customHeight="1" x14ac:dyDescent="0.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</row>
    <row r="226" spans="1:19" ht="15" customHeight="1" x14ac:dyDescent="0.2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</row>
    <row r="227" spans="1:19" ht="15" customHeight="1" x14ac:dyDescent="0.2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</row>
    <row r="228" spans="1:19" ht="15" customHeight="1" x14ac:dyDescent="0.2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</row>
    <row r="229" spans="1:19" ht="15" customHeight="1" x14ac:dyDescent="0.2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</row>
    <row r="230" spans="1:19" ht="15" customHeight="1" x14ac:dyDescent="0.2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</row>
    <row r="231" spans="1:19" ht="15" customHeight="1" x14ac:dyDescent="0.2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</row>
    <row r="232" spans="1:19" ht="15" customHeight="1" x14ac:dyDescent="0.2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</row>
    <row r="233" spans="1:19" ht="15" customHeight="1" x14ac:dyDescent="0.2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</row>
    <row r="234" spans="1:19" ht="15" customHeight="1" x14ac:dyDescent="0.2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</row>
    <row r="235" spans="1:19" ht="15" customHeight="1" x14ac:dyDescent="0.2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</row>
    <row r="236" spans="1:19" ht="15" customHeight="1" x14ac:dyDescent="0.2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</row>
    <row r="237" spans="1:19" ht="15" customHeight="1" x14ac:dyDescent="0.2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</row>
    <row r="238" spans="1:19" ht="15" customHeight="1" x14ac:dyDescent="0.2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</row>
    <row r="239" spans="1:19" ht="15" customHeight="1" x14ac:dyDescent="0.2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</row>
    <row r="240" spans="1:19" ht="15" customHeight="1" x14ac:dyDescent="0.2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</row>
    <row r="241" spans="1:19" ht="15" customHeight="1" x14ac:dyDescent="0.2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</row>
    <row r="242" spans="1:19" ht="15" customHeight="1" x14ac:dyDescent="0.2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</row>
    <row r="243" spans="1:19" ht="15" customHeight="1" x14ac:dyDescent="0.2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</row>
    <row r="244" spans="1:19" ht="15" customHeight="1" x14ac:dyDescent="0.2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</row>
    <row r="245" spans="1:19" ht="15" customHeight="1" x14ac:dyDescent="0.2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</row>
    <row r="246" spans="1:19" ht="15" customHeight="1" x14ac:dyDescent="0.2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</row>
    <row r="247" spans="1:19" ht="15" customHeight="1" x14ac:dyDescent="0.2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</row>
    <row r="248" spans="1:19" ht="15" customHeight="1" x14ac:dyDescent="0.2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</row>
    <row r="249" spans="1:19" ht="15" customHeight="1" x14ac:dyDescent="0.2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</row>
    <row r="250" spans="1:19" ht="15" customHeight="1" x14ac:dyDescent="0.2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</row>
    <row r="251" spans="1:19" ht="15" customHeight="1" x14ac:dyDescent="0.2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</row>
    <row r="252" spans="1:19" ht="15" customHeight="1" x14ac:dyDescent="0.2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</row>
    <row r="253" spans="1:19" ht="15" customHeight="1" x14ac:dyDescent="0.2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</row>
    <row r="254" spans="1:19" ht="15" customHeight="1" x14ac:dyDescent="0.2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</row>
    <row r="255" spans="1:19" ht="15" customHeight="1" x14ac:dyDescent="0.2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</row>
    <row r="256" spans="1:19" ht="15" customHeight="1" x14ac:dyDescent="0.2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</row>
    <row r="257" spans="1:19" ht="15" customHeight="1" x14ac:dyDescent="0.2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</row>
    <row r="258" spans="1:19" ht="15" customHeight="1" x14ac:dyDescent="0.2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</row>
    <row r="259" spans="1:19" ht="15" customHeight="1" x14ac:dyDescent="0.2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</row>
    <row r="260" spans="1:19" ht="15" customHeight="1" x14ac:dyDescent="0.2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</row>
    <row r="261" spans="1:19" ht="15" customHeight="1" x14ac:dyDescent="0.2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</row>
    <row r="262" spans="1:19" ht="15" customHeight="1" x14ac:dyDescent="0.2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</row>
    <row r="263" spans="1:19" ht="15" customHeight="1" x14ac:dyDescent="0.2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</row>
    <row r="264" spans="1:19" ht="15" customHeight="1" x14ac:dyDescent="0.2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</row>
    <row r="265" spans="1:19" ht="15" customHeight="1" x14ac:dyDescent="0.2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</row>
    <row r="266" spans="1:19" ht="15" customHeight="1" x14ac:dyDescent="0.2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</row>
    <row r="267" spans="1:19" ht="15" customHeight="1" x14ac:dyDescent="0.2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</row>
    <row r="268" spans="1:19" ht="15" customHeight="1" x14ac:dyDescent="0.2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</row>
    <row r="269" spans="1:19" ht="15" customHeight="1" x14ac:dyDescent="0.2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</row>
    <row r="270" spans="1:19" ht="15" customHeight="1" x14ac:dyDescent="0.2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</row>
    <row r="271" spans="1:19" ht="15" customHeight="1" x14ac:dyDescent="0.2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</row>
    <row r="272" spans="1:19" ht="15" customHeight="1" x14ac:dyDescent="0.2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</row>
    <row r="273" spans="1:19" ht="15" customHeight="1" x14ac:dyDescent="0.2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</row>
    <row r="274" spans="1:19" ht="15" customHeight="1" x14ac:dyDescent="0.2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</row>
    <row r="275" spans="1:19" ht="15" customHeight="1" x14ac:dyDescent="0.2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</row>
    <row r="276" spans="1:19" ht="15" customHeight="1" x14ac:dyDescent="0.2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</row>
    <row r="277" spans="1:19" ht="15" customHeight="1" x14ac:dyDescent="0.2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</row>
    <row r="278" spans="1:19" ht="15" customHeight="1" x14ac:dyDescent="0.2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</row>
    <row r="279" spans="1:19" ht="15" customHeight="1" x14ac:dyDescent="0.2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</row>
    <row r="280" spans="1:19" ht="15" customHeight="1" x14ac:dyDescent="0.2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</row>
    <row r="281" spans="1:19" ht="15" customHeight="1" x14ac:dyDescent="0.2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</row>
    <row r="282" spans="1:19" ht="15" customHeight="1" x14ac:dyDescent="0.2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</row>
    <row r="283" spans="1:19" ht="15" customHeight="1" x14ac:dyDescent="0.2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</row>
    <row r="284" spans="1:19" ht="15" customHeight="1" x14ac:dyDescent="0.2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</row>
    <row r="285" spans="1:19" ht="15" customHeight="1" x14ac:dyDescent="0.2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</row>
    <row r="286" spans="1:19" ht="15" customHeight="1" x14ac:dyDescent="0.2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</row>
    <row r="287" spans="1:19" ht="15" customHeight="1" x14ac:dyDescent="0.2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</row>
    <row r="288" spans="1:19" ht="15" customHeight="1" x14ac:dyDescent="0.2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</row>
    <row r="289" spans="1:19" ht="15" customHeight="1" x14ac:dyDescent="0.2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</row>
    <row r="290" spans="1:19" ht="15" customHeight="1" x14ac:dyDescent="0.2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</row>
    <row r="291" spans="1:19" ht="15" customHeight="1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</row>
    <row r="292" spans="1:19" ht="15" customHeight="1" x14ac:dyDescent="0.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</row>
    <row r="293" spans="1:19" ht="15" customHeight="1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</row>
    <row r="294" spans="1:19" ht="15" customHeight="1" x14ac:dyDescent="0.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</row>
    <row r="295" spans="1:19" ht="15" customHeight="1" x14ac:dyDescent="0.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</row>
    <row r="296" spans="1:19" ht="15" customHeight="1" x14ac:dyDescent="0.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</row>
    <row r="297" spans="1:19" ht="15" customHeight="1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</row>
    <row r="298" spans="1:19" ht="15" customHeight="1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</row>
    <row r="299" spans="1:19" ht="15" customHeight="1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</row>
    <row r="300" spans="1:19" ht="15" customHeight="1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</row>
    <row r="301" spans="1:19" ht="15" customHeight="1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</row>
    <row r="302" spans="1:19" ht="15" customHeight="1" x14ac:dyDescent="0.2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</row>
    <row r="303" spans="1:19" ht="15" customHeight="1" x14ac:dyDescent="0.2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</row>
    <row r="304" spans="1:19" ht="15" customHeight="1" x14ac:dyDescent="0.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</row>
    <row r="305" spans="1:19" ht="15" customHeight="1" x14ac:dyDescent="0.2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</row>
    <row r="306" spans="1:19" ht="15" customHeight="1" x14ac:dyDescent="0.2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</row>
    <row r="307" spans="1:19" ht="15" customHeight="1" x14ac:dyDescent="0.2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</row>
    <row r="308" spans="1:19" ht="15" customHeight="1" x14ac:dyDescent="0.2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</row>
    <row r="309" spans="1:19" ht="15" customHeight="1" x14ac:dyDescent="0.2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</row>
    <row r="310" spans="1:19" ht="15" customHeight="1" x14ac:dyDescent="0.2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</row>
    <row r="311" spans="1:19" ht="15" customHeight="1" x14ac:dyDescent="0.2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</row>
    <row r="312" spans="1:19" ht="15" customHeight="1" x14ac:dyDescent="0.2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</row>
    <row r="313" spans="1:19" ht="15" customHeight="1" x14ac:dyDescent="0.2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</row>
    <row r="314" spans="1:19" ht="15" customHeight="1" x14ac:dyDescent="0.2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</row>
    <row r="315" spans="1:19" ht="15" customHeight="1" x14ac:dyDescent="0.2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</row>
    <row r="316" spans="1:19" ht="15" customHeight="1" x14ac:dyDescent="0.2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</row>
    <row r="317" spans="1:19" ht="15" customHeight="1" x14ac:dyDescent="0.2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</row>
    <row r="318" spans="1:19" ht="15" customHeight="1" x14ac:dyDescent="0.2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</row>
    <row r="319" spans="1:19" ht="15" customHeight="1" x14ac:dyDescent="0.2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</row>
    <row r="320" spans="1:19" ht="15" customHeight="1" x14ac:dyDescent="0.2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</row>
    <row r="321" spans="1:19" ht="15" customHeight="1" x14ac:dyDescent="0.2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</row>
    <row r="322" spans="1:19" ht="15" customHeight="1" x14ac:dyDescent="0.2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</row>
    <row r="323" spans="1:19" ht="15" customHeight="1" x14ac:dyDescent="0.2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</row>
    <row r="324" spans="1:19" ht="15" customHeight="1" x14ac:dyDescent="0.2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</row>
    <row r="325" spans="1:19" ht="15" customHeight="1" x14ac:dyDescent="0.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</row>
    <row r="326" spans="1:19" ht="15" customHeight="1" x14ac:dyDescent="0.2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</row>
    <row r="327" spans="1:19" ht="15" customHeight="1" x14ac:dyDescent="0.2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</row>
    <row r="328" spans="1:19" ht="15" customHeight="1" x14ac:dyDescent="0.2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</row>
    <row r="329" spans="1:19" ht="15" customHeight="1" x14ac:dyDescent="0.2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</row>
    <row r="330" spans="1:19" ht="15" customHeight="1" x14ac:dyDescent="0.2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</row>
    <row r="331" spans="1:19" ht="15" customHeight="1" x14ac:dyDescent="0.2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</row>
    <row r="332" spans="1:19" ht="15" customHeight="1" x14ac:dyDescent="0.2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</row>
    <row r="333" spans="1:19" ht="15" customHeight="1" x14ac:dyDescent="0.2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</row>
    <row r="334" spans="1:19" ht="15" customHeight="1" x14ac:dyDescent="0.2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</row>
    <row r="335" spans="1:19" ht="15" customHeight="1" x14ac:dyDescent="0.2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</row>
    <row r="336" spans="1:19" ht="15" customHeight="1" x14ac:dyDescent="0.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</row>
    <row r="337" spans="1:19" ht="15" customHeight="1" x14ac:dyDescent="0.2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</row>
    <row r="338" spans="1:19" ht="15" customHeight="1" x14ac:dyDescent="0.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</row>
    <row r="339" spans="1:19" ht="15" customHeight="1" x14ac:dyDescent="0.2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</row>
    <row r="340" spans="1:19" ht="15" customHeight="1" x14ac:dyDescent="0.2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</row>
    <row r="341" spans="1:19" ht="15" customHeight="1" x14ac:dyDescent="0.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</row>
    <row r="342" spans="1:19" ht="15" customHeight="1" x14ac:dyDescent="0.2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</row>
    <row r="343" spans="1:19" ht="15" customHeight="1" x14ac:dyDescent="0.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</row>
    <row r="344" spans="1:19" ht="15" customHeight="1" x14ac:dyDescent="0.2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</row>
    <row r="345" spans="1:19" ht="15" customHeight="1" x14ac:dyDescent="0.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</row>
    <row r="346" spans="1:19" ht="15" customHeight="1" x14ac:dyDescent="0.2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</row>
    <row r="347" spans="1:19" ht="15" customHeight="1" x14ac:dyDescent="0.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</row>
    <row r="348" spans="1:19" ht="15" customHeight="1" x14ac:dyDescent="0.2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</row>
    <row r="349" spans="1:19" ht="15" customHeight="1" x14ac:dyDescent="0.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</row>
    <row r="350" spans="1:19" ht="15" customHeight="1" x14ac:dyDescent="0.2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</row>
    <row r="351" spans="1:19" ht="15" customHeight="1" x14ac:dyDescent="0.2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</row>
    <row r="352" spans="1:19" ht="15" customHeight="1" x14ac:dyDescent="0.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</row>
    <row r="353" spans="1:19" ht="15" customHeight="1" x14ac:dyDescent="0.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</row>
    <row r="354" spans="1:19" ht="15" customHeight="1" x14ac:dyDescent="0.2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</row>
    <row r="355" spans="1:19" ht="15" customHeight="1" x14ac:dyDescent="0.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</row>
    <row r="356" spans="1:19" ht="15" customHeight="1" x14ac:dyDescent="0.2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</row>
    <row r="357" spans="1:19" ht="15" customHeight="1" x14ac:dyDescent="0.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</row>
    <row r="358" spans="1:19" ht="15" customHeight="1" x14ac:dyDescent="0.2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</row>
    <row r="359" spans="1:19" ht="15" customHeight="1" x14ac:dyDescent="0.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</row>
    <row r="360" spans="1:19" ht="15" customHeight="1" x14ac:dyDescent="0.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</row>
    <row r="361" spans="1:19" ht="15" customHeight="1" x14ac:dyDescent="0.2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</row>
    <row r="362" spans="1:19" ht="15" customHeight="1" x14ac:dyDescent="0.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</row>
    <row r="363" spans="1:19" ht="15" customHeight="1" x14ac:dyDescent="0.2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</row>
    <row r="364" spans="1:19" ht="15" customHeight="1" x14ac:dyDescent="0.2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</row>
    <row r="365" spans="1:19" ht="15" customHeight="1" x14ac:dyDescent="0.2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</row>
    <row r="366" spans="1:19" ht="15" customHeight="1" x14ac:dyDescent="0.2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</row>
    <row r="367" spans="1:19" ht="15" customHeight="1" x14ac:dyDescent="0.2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</row>
    <row r="368" spans="1:19" ht="15" customHeight="1" x14ac:dyDescent="0.2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</row>
    <row r="369" spans="1:19" ht="15" customHeight="1" x14ac:dyDescent="0.2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</row>
    <row r="370" spans="1:19" ht="15" customHeight="1" x14ac:dyDescent="0.2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</row>
    <row r="371" spans="1:19" ht="15" customHeight="1" x14ac:dyDescent="0.2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</row>
    <row r="372" spans="1:19" ht="15" customHeight="1" x14ac:dyDescent="0.2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</row>
    <row r="373" spans="1:19" ht="15" customHeight="1" x14ac:dyDescent="0.2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</row>
    <row r="374" spans="1:19" ht="15" customHeight="1" x14ac:dyDescent="0.2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</row>
    <row r="375" spans="1:19" ht="15" customHeight="1" x14ac:dyDescent="0.2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</row>
    <row r="376" spans="1:19" ht="15" customHeight="1" x14ac:dyDescent="0.2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</row>
    <row r="377" spans="1:19" ht="15" customHeight="1" x14ac:dyDescent="0.2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</row>
    <row r="378" spans="1:19" ht="15" customHeight="1" x14ac:dyDescent="0.2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</row>
    <row r="379" spans="1:19" ht="15" customHeight="1" x14ac:dyDescent="0.2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</row>
    <row r="380" spans="1:19" ht="15" customHeight="1" x14ac:dyDescent="0.2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</row>
    <row r="381" spans="1:19" ht="15" customHeight="1" x14ac:dyDescent="0.2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</row>
    <row r="382" spans="1:19" ht="15" customHeight="1" x14ac:dyDescent="0.2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</row>
    <row r="383" spans="1:19" ht="15" customHeight="1" x14ac:dyDescent="0.2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</row>
    <row r="384" spans="1:19" ht="15" customHeight="1" x14ac:dyDescent="0.2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</row>
    <row r="385" spans="1:19" ht="15" customHeight="1" x14ac:dyDescent="0.2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</row>
    <row r="386" spans="1:19" ht="15" customHeight="1" x14ac:dyDescent="0.2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</row>
    <row r="387" spans="1:19" ht="15" customHeight="1" x14ac:dyDescent="0.2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</row>
    <row r="388" spans="1:19" ht="15" customHeight="1" x14ac:dyDescent="0.2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</row>
    <row r="389" spans="1:19" ht="15" customHeight="1" x14ac:dyDescent="0.2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</row>
    <row r="390" spans="1:19" ht="15" customHeight="1" x14ac:dyDescent="0.2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</row>
    <row r="391" spans="1:19" ht="15" customHeight="1" x14ac:dyDescent="0.2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</row>
    <row r="392" spans="1:19" ht="15" customHeight="1" x14ac:dyDescent="0.2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</row>
    <row r="393" spans="1:19" ht="15" customHeight="1" x14ac:dyDescent="0.2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</row>
    <row r="394" spans="1:19" ht="15" customHeight="1" x14ac:dyDescent="0.2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</row>
    <row r="395" spans="1:19" ht="15" customHeight="1" x14ac:dyDescent="0.2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</row>
    <row r="396" spans="1:19" ht="15" customHeight="1" x14ac:dyDescent="0.2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</row>
    <row r="397" spans="1:19" ht="15" customHeight="1" x14ac:dyDescent="0.2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</row>
    <row r="398" spans="1:19" ht="15" customHeight="1" x14ac:dyDescent="0.2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</row>
    <row r="399" spans="1:19" ht="15" customHeight="1" x14ac:dyDescent="0.2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</row>
    <row r="400" spans="1:19" ht="15" customHeight="1" x14ac:dyDescent="0.2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</row>
    <row r="401" spans="1:19" ht="15" customHeight="1" x14ac:dyDescent="0.2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</row>
    <row r="402" spans="1:19" ht="15" customHeight="1" x14ac:dyDescent="0.2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</row>
    <row r="403" spans="1:19" ht="15" customHeight="1" x14ac:dyDescent="0.2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</row>
    <row r="404" spans="1:19" ht="15" customHeight="1" x14ac:dyDescent="0.2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</row>
    <row r="405" spans="1:19" ht="15" customHeight="1" x14ac:dyDescent="0.2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</row>
    <row r="406" spans="1:19" ht="15" customHeight="1" x14ac:dyDescent="0.2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</row>
    <row r="407" spans="1:19" ht="15" customHeight="1" x14ac:dyDescent="0.2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</row>
    <row r="408" spans="1:19" ht="15" customHeight="1" x14ac:dyDescent="0.2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</row>
    <row r="409" spans="1:19" ht="15" customHeight="1" x14ac:dyDescent="0.2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</row>
    <row r="410" spans="1:19" ht="15" customHeight="1" x14ac:dyDescent="0.2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</row>
    <row r="411" spans="1:19" ht="15" customHeight="1" x14ac:dyDescent="0.2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</row>
    <row r="412" spans="1:19" ht="15" customHeight="1" x14ac:dyDescent="0.2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</row>
    <row r="413" spans="1:19" ht="15" customHeight="1" x14ac:dyDescent="0.2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</row>
    <row r="414" spans="1:19" ht="15" customHeight="1" x14ac:dyDescent="0.2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</row>
    <row r="415" spans="1:19" ht="15" customHeight="1" x14ac:dyDescent="0.2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</row>
    <row r="416" spans="1:19" ht="15" customHeight="1" x14ac:dyDescent="0.2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</row>
    <row r="417" spans="1:19" ht="15" customHeight="1" x14ac:dyDescent="0.2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</row>
    <row r="418" spans="1:19" ht="15" customHeight="1" x14ac:dyDescent="0.2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</row>
    <row r="419" spans="1:19" ht="15" customHeight="1" x14ac:dyDescent="0.2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</row>
    <row r="420" spans="1:19" ht="15" customHeight="1" x14ac:dyDescent="0.2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</row>
    <row r="421" spans="1:19" ht="15" customHeight="1" x14ac:dyDescent="0.2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</row>
    <row r="422" spans="1:19" ht="15" customHeight="1" x14ac:dyDescent="0.2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</row>
    <row r="423" spans="1:19" ht="15" customHeight="1" x14ac:dyDescent="0.2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</row>
    <row r="424" spans="1:19" ht="15" customHeight="1" x14ac:dyDescent="0.2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</row>
    <row r="425" spans="1:19" ht="15" customHeight="1" x14ac:dyDescent="0.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</row>
    <row r="426" spans="1:19" ht="15" customHeight="1" x14ac:dyDescent="0.2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</row>
    <row r="427" spans="1:19" ht="15" customHeight="1" x14ac:dyDescent="0.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</row>
    <row r="428" spans="1:19" ht="15" customHeight="1" x14ac:dyDescent="0.2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</row>
    <row r="429" spans="1:19" ht="15" customHeight="1" x14ac:dyDescent="0.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</row>
    <row r="430" spans="1:19" ht="15" customHeight="1" x14ac:dyDescent="0.2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</row>
    <row r="431" spans="1:19" ht="15" customHeight="1" x14ac:dyDescent="0.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</row>
    <row r="432" spans="1:19" ht="15" customHeight="1" x14ac:dyDescent="0.2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</row>
    <row r="433" spans="1:19" ht="15" customHeight="1" x14ac:dyDescent="0.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</row>
    <row r="434" spans="1:19" ht="15" customHeight="1" x14ac:dyDescent="0.2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</row>
    <row r="435" spans="1:19" ht="15" customHeight="1" x14ac:dyDescent="0.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</row>
    <row r="436" spans="1:19" ht="15" customHeight="1" x14ac:dyDescent="0.2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</row>
    <row r="437" spans="1:19" ht="15" customHeight="1" x14ac:dyDescent="0.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</row>
    <row r="438" spans="1:19" ht="15" customHeight="1" x14ac:dyDescent="0.2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</row>
    <row r="439" spans="1:19" ht="15" customHeight="1" x14ac:dyDescent="0.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</row>
    <row r="440" spans="1:19" ht="15" customHeight="1" x14ac:dyDescent="0.2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</row>
    <row r="441" spans="1:19" ht="15" customHeight="1" x14ac:dyDescent="0.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</row>
    <row r="442" spans="1:19" ht="15" customHeight="1" x14ac:dyDescent="0.2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</row>
    <row r="443" spans="1:19" ht="15" customHeight="1" x14ac:dyDescent="0.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</row>
    <row r="444" spans="1:19" ht="15" customHeight="1" x14ac:dyDescent="0.2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</row>
    <row r="445" spans="1:19" ht="15" customHeight="1" x14ac:dyDescent="0.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</row>
    <row r="446" spans="1:19" ht="15" customHeight="1" x14ac:dyDescent="0.2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</row>
    <row r="447" spans="1:19" ht="15" customHeight="1" x14ac:dyDescent="0.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</row>
    <row r="448" spans="1:19" ht="15" customHeight="1" x14ac:dyDescent="0.2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</row>
    <row r="449" spans="1:19" ht="15" customHeight="1" x14ac:dyDescent="0.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</row>
    <row r="450" spans="1:19" ht="15" customHeight="1" x14ac:dyDescent="0.2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</row>
    <row r="451" spans="1:19" ht="15" customHeight="1" x14ac:dyDescent="0.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</row>
    <row r="452" spans="1:19" ht="15" customHeight="1" x14ac:dyDescent="0.2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</row>
    <row r="453" spans="1:19" ht="15" customHeight="1" x14ac:dyDescent="0.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</row>
    <row r="454" spans="1:19" ht="15" customHeight="1" x14ac:dyDescent="0.2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</row>
    <row r="455" spans="1:19" ht="15" customHeight="1" x14ac:dyDescent="0.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</row>
    <row r="456" spans="1:19" ht="15" customHeight="1" x14ac:dyDescent="0.2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</row>
    <row r="457" spans="1:19" ht="15" customHeight="1" x14ac:dyDescent="0.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</row>
    <row r="458" spans="1:19" ht="15" customHeight="1" x14ac:dyDescent="0.2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</row>
    <row r="459" spans="1:19" ht="15" customHeight="1" x14ac:dyDescent="0.2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</row>
    <row r="460" spans="1:19" ht="15" customHeight="1" x14ac:dyDescent="0.2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</row>
    <row r="461" spans="1:19" ht="15" customHeight="1" x14ac:dyDescent="0.2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</row>
    <row r="462" spans="1:19" ht="15" customHeight="1" x14ac:dyDescent="0.2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</row>
    <row r="463" spans="1:19" ht="15" customHeight="1" x14ac:dyDescent="0.2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</row>
    <row r="464" spans="1:19" ht="15" customHeight="1" x14ac:dyDescent="0.2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</row>
    <row r="465" spans="1:19" ht="15" customHeight="1" x14ac:dyDescent="0.2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</row>
    <row r="466" spans="1:19" ht="15" customHeight="1" x14ac:dyDescent="0.2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</row>
    <row r="467" spans="1:19" ht="15" customHeight="1" x14ac:dyDescent="0.2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</row>
    <row r="468" spans="1:19" ht="15" customHeight="1" x14ac:dyDescent="0.2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</row>
    <row r="469" spans="1:19" ht="15" customHeight="1" x14ac:dyDescent="0.2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</row>
    <row r="470" spans="1:19" ht="15" customHeight="1" x14ac:dyDescent="0.2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</row>
    <row r="471" spans="1:19" ht="15" customHeight="1" x14ac:dyDescent="0.2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</row>
    <row r="472" spans="1:19" ht="15" customHeight="1" x14ac:dyDescent="0.2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</row>
    <row r="473" spans="1:19" ht="15" customHeight="1" x14ac:dyDescent="0.2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</row>
    <row r="474" spans="1:19" ht="15" customHeight="1" x14ac:dyDescent="0.2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</row>
    <row r="475" spans="1:19" ht="15" customHeight="1" x14ac:dyDescent="0.2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</row>
    <row r="476" spans="1:19" ht="15" customHeight="1" x14ac:dyDescent="0.2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</row>
    <row r="477" spans="1:19" ht="15" customHeight="1" x14ac:dyDescent="0.2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</row>
    <row r="478" spans="1:19" ht="15" customHeight="1" x14ac:dyDescent="0.2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</row>
    <row r="479" spans="1:19" ht="15" customHeight="1" x14ac:dyDescent="0.2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</row>
    <row r="480" spans="1:19" ht="15" customHeight="1" x14ac:dyDescent="0.2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</row>
    <row r="481" spans="1:19" ht="15" customHeight="1" x14ac:dyDescent="0.2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</row>
    <row r="482" spans="1:19" ht="15" customHeight="1" x14ac:dyDescent="0.2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</row>
    <row r="483" spans="1:19" ht="15" customHeight="1" x14ac:dyDescent="0.2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</row>
    <row r="484" spans="1:19" ht="15" customHeight="1" x14ac:dyDescent="0.2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</row>
    <row r="485" spans="1:19" ht="15" customHeight="1" x14ac:dyDescent="0.2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</row>
    <row r="486" spans="1:19" ht="15" customHeight="1" x14ac:dyDescent="0.2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</row>
    <row r="487" spans="1:19" ht="15" customHeight="1" x14ac:dyDescent="0.2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</row>
    <row r="488" spans="1:19" ht="15" customHeight="1" x14ac:dyDescent="0.2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</row>
    <row r="489" spans="1:19" ht="15" customHeight="1" x14ac:dyDescent="0.2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</row>
    <row r="490" spans="1:19" ht="15" customHeight="1" x14ac:dyDescent="0.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</row>
    <row r="491" spans="1:19" ht="15" customHeight="1" x14ac:dyDescent="0.2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</row>
    <row r="492" spans="1:19" ht="15" customHeight="1" x14ac:dyDescent="0.2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</row>
    <row r="493" spans="1:19" ht="15" customHeight="1" x14ac:dyDescent="0.2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</row>
    <row r="494" spans="1:19" ht="15" customHeight="1" x14ac:dyDescent="0.2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</row>
    <row r="495" spans="1:19" ht="15" customHeight="1" x14ac:dyDescent="0.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</row>
    <row r="496" spans="1:19" ht="15" customHeight="1" x14ac:dyDescent="0.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</row>
    <row r="497" spans="1:19" ht="15" customHeight="1" x14ac:dyDescent="0.2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</row>
    <row r="498" spans="1:19" ht="15" customHeight="1" x14ac:dyDescent="0.2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</row>
    <row r="499" spans="1:19" ht="15" customHeight="1" x14ac:dyDescent="0.2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</row>
    <row r="500" spans="1:19" ht="15" customHeight="1" x14ac:dyDescent="0.2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</row>
    <row r="501" spans="1:19" ht="15" customHeight="1" x14ac:dyDescent="0.2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</row>
    <row r="502" spans="1:19" ht="15" customHeight="1" x14ac:dyDescent="0.2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</row>
    <row r="503" spans="1:19" ht="15" customHeight="1" x14ac:dyDescent="0.2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</row>
    <row r="504" spans="1:19" ht="15" customHeight="1" x14ac:dyDescent="0.2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</row>
    <row r="505" spans="1:19" ht="15" customHeight="1" x14ac:dyDescent="0.2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</row>
    <row r="506" spans="1:19" ht="15" customHeight="1" x14ac:dyDescent="0.2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</row>
    <row r="507" spans="1:19" ht="15" customHeight="1" x14ac:dyDescent="0.2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</row>
    <row r="508" spans="1:19" ht="15" customHeight="1" x14ac:dyDescent="0.2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</row>
    <row r="509" spans="1:19" ht="15" customHeight="1" x14ac:dyDescent="0.2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</row>
    <row r="510" spans="1:19" ht="15" customHeight="1" x14ac:dyDescent="0.2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</row>
    <row r="511" spans="1:19" ht="15" customHeight="1" x14ac:dyDescent="0.2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</row>
    <row r="512" spans="1:19" ht="15" customHeight="1" x14ac:dyDescent="0.2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</row>
    <row r="513" spans="1:19" ht="15" customHeight="1" x14ac:dyDescent="0.2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</row>
    <row r="514" spans="1:19" ht="15" customHeight="1" x14ac:dyDescent="0.2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</row>
    <row r="515" spans="1:19" ht="15" customHeight="1" x14ac:dyDescent="0.2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</row>
    <row r="516" spans="1:19" ht="15" customHeight="1" x14ac:dyDescent="0.2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</row>
    <row r="517" spans="1:19" ht="15" customHeight="1" x14ac:dyDescent="0.2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</row>
    <row r="518" spans="1:19" ht="15" customHeight="1" x14ac:dyDescent="0.2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</row>
    <row r="519" spans="1:19" ht="15" customHeight="1" x14ac:dyDescent="0.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</row>
    <row r="520" spans="1:19" ht="15" customHeight="1" x14ac:dyDescent="0.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</row>
    <row r="521" spans="1:19" ht="15" customHeight="1" x14ac:dyDescent="0.2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</row>
    <row r="522" spans="1:19" ht="15" customHeight="1" x14ac:dyDescent="0.2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</row>
    <row r="523" spans="1:19" ht="15" customHeight="1" x14ac:dyDescent="0.2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</row>
    <row r="524" spans="1:19" ht="15" customHeight="1" x14ac:dyDescent="0.2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</row>
    <row r="525" spans="1:19" ht="15" customHeight="1" x14ac:dyDescent="0.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</row>
    <row r="526" spans="1:19" ht="15" customHeight="1" x14ac:dyDescent="0.2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</row>
    <row r="527" spans="1:19" ht="15" customHeight="1" x14ac:dyDescent="0.2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</row>
    <row r="528" spans="1:19" ht="15" customHeight="1" x14ac:dyDescent="0.2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</row>
    <row r="529" spans="1:19" ht="15" customHeight="1" x14ac:dyDescent="0.2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</row>
    <row r="530" spans="1:19" ht="15" customHeight="1" x14ac:dyDescent="0.2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</row>
    <row r="531" spans="1:19" ht="15" customHeight="1" x14ac:dyDescent="0.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</row>
    <row r="532" spans="1:19" ht="15" customHeight="1" x14ac:dyDescent="0.2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</row>
    <row r="533" spans="1:19" ht="15" customHeight="1" x14ac:dyDescent="0.2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</row>
    <row r="534" spans="1:19" ht="15" customHeight="1" x14ac:dyDescent="0.2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</row>
    <row r="535" spans="1:19" ht="15" customHeight="1" x14ac:dyDescent="0.2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</row>
    <row r="536" spans="1:19" ht="15" customHeight="1" x14ac:dyDescent="0.2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</row>
    <row r="537" spans="1:19" ht="15" customHeight="1" x14ac:dyDescent="0.2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</row>
    <row r="538" spans="1:19" ht="15" customHeight="1" x14ac:dyDescent="0.2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</row>
    <row r="539" spans="1:19" ht="15" customHeight="1" x14ac:dyDescent="0.2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</row>
    <row r="540" spans="1:19" ht="15" customHeight="1" x14ac:dyDescent="0.2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</row>
    <row r="541" spans="1:19" ht="15" customHeight="1" x14ac:dyDescent="0.2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</row>
    <row r="542" spans="1:19" ht="15" customHeight="1" x14ac:dyDescent="0.2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</row>
    <row r="543" spans="1:19" ht="15" customHeight="1" x14ac:dyDescent="0.2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</row>
    <row r="544" spans="1:19" ht="15" customHeight="1" x14ac:dyDescent="0.2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</row>
    <row r="545" spans="1:19" ht="15" customHeight="1" x14ac:dyDescent="0.2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</row>
    <row r="546" spans="1:19" ht="15" customHeight="1" x14ac:dyDescent="0.2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</row>
    <row r="547" spans="1:19" ht="15" customHeight="1" x14ac:dyDescent="0.2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</row>
    <row r="548" spans="1:19" ht="15" customHeight="1" x14ac:dyDescent="0.2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</row>
    <row r="549" spans="1:19" ht="15" customHeight="1" x14ac:dyDescent="0.2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</row>
    <row r="550" spans="1:19" ht="15" customHeight="1" x14ac:dyDescent="0.2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</row>
    <row r="551" spans="1:19" ht="15" customHeight="1" x14ac:dyDescent="0.2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</row>
    <row r="552" spans="1:19" ht="15" customHeight="1" x14ac:dyDescent="0.2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</row>
    <row r="553" spans="1:19" ht="15" customHeight="1" x14ac:dyDescent="0.2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</row>
    <row r="554" spans="1:19" ht="15" customHeight="1" x14ac:dyDescent="0.2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</row>
    <row r="555" spans="1:19" ht="15" customHeight="1" x14ac:dyDescent="0.2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</row>
    <row r="556" spans="1:19" ht="15" customHeight="1" x14ac:dyDescent="0.2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</row>
    <row r="557" spans="1:19" ht="15" customHeight="1" x14ac:dyDescent="0.2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</row>
    <row r="558" spans="1:19" ht="15" customHeight="1" x14ac:dyDescent="0.2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</row>
    <row r="559" spans="1:19" ht="15" customHeight="1" x14ac:dyDescent="0.2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</row>
    <row r="560" spans="1:19" ht="15" customHeight="1" x14ac:dyDescent="0.2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</row>
    <row r="561" spans="1:19" ht="15" customHeight="1" x14ac:dyDescent="0.2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</row>
    <row r="562" spans="1:19" ht="15" customHeight="1" x14ac:dyDescent="0.2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</row>
    <row r="563" spans="1:19" ht="15" customHeight="1" x14ac:dyDescent="0.2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</row>
    <row r="564" spans="1:19" ht="15" customHeight="1" x14ac:dyDescent="0.2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</row>
    <row r="565" spans="1:19" ht="15" customHeight="1" x14ac:dyDescent="0.2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</row>
    <row r="566" spans="1:19" ht="15" customHeight="1" x14ac:dyDescent="0.2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</row>
    <row r="567" spans="1:19" ht="15" customHeight="1" x14ac:dyDescent="0.2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</row>
    <row r="568" spans="1:19" ht="15" customHeight="1" x14ac:dyDescent="0.2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</row>
    <row r="569" spans="1:19" ht="15" customHeight="1" x14ac:dyDescent="0.2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</row>
    <row r="570" spans="1:19" ht="15" customHeight="1" x14ac:dyDescent="0.2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</row>
    <row r="571" spans="1:19" ht="15" customHeight="1" x14ac:dyDescent="0.2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</row>
    <row r="572" spans="1:19" ht="15" customHeight="1" x14ac:dyDescent="0.2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</row>
    <row r="573" spans="1:19" ht="15" customHeight="1" x14ac:dyDescent="0.2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</row>
    <row r="574" spans="1:19" ht="15" customHeight="1" x14ac:dyDescent="0.2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</row>
    <row r="575" spans="1:19" ht="15" customHeight="1" x14ac:dyDescent="0.2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</row>
    <row r="576" spans="1:19" ht="15" customHeight="1" x14ac:dyDescent="0.2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</row>
    <row r="577" spans="1:19" ht="15" customHeight="1" x14ac:dyDescent="0.2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</row>
    <row r="578" spans="1:19" ht="15" customHeight="1" x14ac:dyDescent="0.2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</row>
    <row r="579" spans="1:19" ht="15" customHeight="1" x14ac:dyDescent="0.2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</row>
    <row r="580" spans="1:19" ht="15" customHeight="1" x14ac:dyDescent="0.2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</row>
    <row r="581" spans="1:19" ht="15" customHeight="1" x14ac:dyDescent="0.2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</row>
    <row r="582" spans="1:19" ht="15" customHeight="1" x14ac:dyDescent="0.2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</row>
    <row r="583" spans="1:19" ht="15" customHeight="1" x14ac:dyDescent="0.2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</row>
    <row r="584" spans="1:19" ht="15" customHeight="1" x14ac:dyDescent="0.2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</row>
    <row r="585" spans="1:19" ht="15" customHeight="1" x14ac:dyDescent="0.2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</row>
    <row r="586" spans="1:19" ht="15" customHeight="1" x14ac:dyDescent="0.2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</row>
    <row r="587" spans="1:19" ht="15" customHeight="1" x14ac:dyDescent="0.2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</row>
    <row r="588" spans="1:19" ht="15" customHeight="1" x14ac:dyDescent="0.2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</row>
    <row r="589" spans="1:19" ht="15" customHeight="1" x14ac:dyDescent="0.2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</row>
    <row r="590" spans="1:19" ht="15" customHeight="1" x14ac:dyDescent="0.2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</row>
    <row r="591" spans="1:19" ht="15" customHeight="1" x14ac:dyDescent="0.2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</row>
    <row r="592" spans="1:19" ht="15" customHeight="1" x14ac:dyDescent="0.2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</row>
    <row r="593" spans="1:19" ht="15" customHeight="1" x14ac:dyDescent="0.2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</row>
    <row r="594" spans="1:19" ht="15" customHeight="1" x14ac:dyDescent="0.2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</row>
    <row r="595" spans="1:19" ht="15" customHeight="1" x14ac:dyDescent="0.2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</row>
    <row r="596" spans="1:19" ht="15" customHeight="1" x14ac:dyDescent="0.2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</row>
    <row r="597" spans="1:19" ht="15" customHeight="1" x14ac:dyDescent="0.2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</row>
    <row r="598" spans="1:19" ht="15" customHeight="1" x14ac:dyDescent="0.2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</row>
    <row r="599" spans="1:19" ht="15" customHeight="1" x14ac:dyDescent="0.2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</row>
    <row r="600" spans="1:19" ht="15" customHeight="1" x14ac:dyDescent="0.2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</row>
    <row r="601" spans="1:19" ht="15" customHeight="1" x14ac:dyDescent="0.2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</row>
    <row r="602" spans="1:19" ht="15" customHeight="1" x14ac:dyDescent="0.2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</row>
    <row r="603" spans="1:19" ht="15" customHeight="1" x14ac:dyDescent="0.2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</row>
    <row r="604" spans="1:19" ht="15" customHeight="1" x14ac:dyDescent="0.2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</row>
    <row r="605" spans="1:19" ht="15" customHeight="1" x14ac:dyDescent="0.2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</row>
    <row r="606" spans="1:19" ht="15" customHeight="1" x14ac:dyDescent="0.2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</row>
    <row r="607" spans="1:19" ht="15" customHeight="1" x14ac:dyDescent="0.2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</row>
    <row r="608" spans="1:19" ht="15" customHeight="1" x14ac:dyDescent="0.2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</row>
    <row r="609" spans="1:19" ht="15" customHeight="1" x14ac:dyDescent="0.2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</row>
    <row r="610" spans="1:19" ht="15" customHeight="1" x14ac:dyDescent="0.2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</row>
    <row r="611" spans="1:19" ht="15" customHeight="1" x14ac:dyDescent="0.2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</row>
    <row r="612" spans="1:19" ht="15" customHeight="1" x14ac:dyDescent="0.2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</row>
    <row r="613" spans="1:19" ht="15" customHeight="1" x14ac:dyDescent="0.2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</row>
    <row r="614" spans="1:19" ht="15" customHeight="1" x14ac:dyDescent="0.2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</row>
    <row r="615" spans="1:19" ht="15" customHeight="1" x14ac:dyDescent="0.2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</row>
    <row r="616" spans="1:19" ht="15" customHeight="1" x14ac:dyDescent="0.2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</row>
    <row r="617" spans="1:19" ht="15" customHeight="1" x14ac:dyDescent="0.2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</row>
    <row r="618" spans="1:19" ht="15" customHeight="1" x14ac:dyDescent="0.2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</row>
    <row r="619" spans="1:19" ht="15" customHeight="1" x14ac:dyDescent="0.2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</row>
    <row r="620" spans="1:19" ht="15" customHeight="1" x14ac:dyDescent="0.2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</row>
    <row r="621" spans="1:19" ht="15" customHeight="1" x14ac:dyDescent="0.2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</row>
    <row r="622" spans="1:19" ht="15" customHeight="1" x14ac:dyDescent="0.2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</row>
    <row r="623" spans="1:19" ht="15" customHeight="1" x14ac:dyDescent="0.2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</row>
    <row r="624" spans="1:19" ht="15" customHeight="1" x14ac:dyDescent="0.2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</row>
    <row r="625" spans="1:19" ht="15" customHeight="1" x14ac:dyDescent="0.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</row>
    <row r="626" spans="1:19" ht="15" customHeight="1" x14ac:dyDescent="0.2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</row>
    <row r="627" spans="1:19" ht="15" customHeight="1" x14ac:dyDescent="0.2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</row>
    <row r="628" spans="1:19" ht="15" customHeight="1" x14ac:dyDescent="0.2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</row>
    <row r="629" spans="1:19" ht="15" customHeight="1" x14ac:dyDescent="0.2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</row>
    <row r="630" spans="1:19" ht="15" customHeight="1" x14ac:dyDescent="0.2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</row>
    <row r="631" spans="1:19" ht="15" customHeight="1" x14ac:dyDescent="0.2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</row>
    <row r="632" spans="1:19" ht="15" customHeight="1" x14ac:dyDescent="0.2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</row>
    <row r="633" spans="1:19" ht="15" customHeight="1" x14ac:dyDescent="0.2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</row>
    <row r="634" spans="1:19" ht="15" customHeight="1" x14ac:dyDescent="0.2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</row>
    <row r="635" spans="1:19" ht="15" customHeight="1" x14ac:dyDescent="0.2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</row>
    <row r="636" spans="1:19" ht="15" customHeight="1" x14ac:dyDescent="0.2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</row>
    <row r="637" spans="1:19" ht="15" customHeight="1" x14ac:dyDescent="0.2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</row>
    <row r="638" spans="1:19" ht="15" customHeight="1" x14ac:dyDescent="0.2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</row>
    <row r="639" spans="1:19" ht="15" customHeight="1" x14ac:dyDescent="0.2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</row>
    <row r="640" spans="1:19" ht="15" customHeight="1" x14ac:dyDescent="0.2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</row>
    <row r="641" spans="1:19" ht="15" customHeight="1" x14ac:dyDescent="0.2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</row>
    <row r="642" spans="1:19" ht="15" customHeight="1" x14ac:dyDescent="0.2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</row>
    <row r="643" spans="1:19" ht="15" customHeight="1" x14ac:dyDescent="0.2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</row>
    <row r="644" spans="1:19" ht="15" customHeight="1" x14ac:dyDescent="0.2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</row>
    <row r="645" spans="1:19" ht="15" customHeight="1" x14ac:dyDescent="0.2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</row>
    <row r="646" spans="1:19" ht="15" customHeight="1" x14ac:dyDescent="0.2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</row>
    <row r="647" spans="1:19" ht="15" customHeight="1" x14ac:dyDescent="0.2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</row>
    <row r="648" spans="1:19" ht="15" customHeight="1" x14ac:dyDescent="0.2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</row>
    <row r="649" spans="1:19" ht="15" customHeight="1" x14ac:dyDescent="0.2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</row>
    <row r="650" spans="1:19" ht="15" customHeight="1" x14ac:dyDescent="0.2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</row>
    <row r="651" spans="1:19" ht="15" customHeight="1" x14ac:dyDescent="0.2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</row>
    <row r="652" spans="1:19" ht="15" customHeight="1" x14ac:dyDescent="0.2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</row>
    <row r="653" spans="1:19" ht="15" customHeight="1" x14ac:dyDescent="0.2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</row>
    <row r="654" spans="1:19" ht="15" customHeight="1" x14ac:dyDescent="0.2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</row>
    <row r="655" spans="1:19" ht="15" customHeight="1" x14ac:dyDescent="0.2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</row>
    <row r="656" spans="1:19" ht="15" customHeight="1" x14ac:dyDescent="0.2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</row>
    <row r="657" spans="1:19" ht="15" customHeight="1" x14ac:dyDescent="0.2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</row>
    <row r="658" spans="1:19" ht="15" customHeight="1" x14ac:dyDescent="0.2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</row>
    <row r="659" spans="1:19" ht="15" customHeight="1" x14ac:dyDescent="0.2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</row>
    <row r="660" spans="1:19" ht="15" customHeight="1" x14ac:dyDescent="0.2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</row>
    <row r="661" spans="1:19" ht="15" customHeight="1" x14ac:dyDescent="0.2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</row>
    <row r="662" spans="1:19" ht="15" customHeight="1" x14ac:dyDescent="0.2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</row>
    <row r="663" spans="1:19" ht="15" customHeight="1" x14ac:dyDescent="0.2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</row>
    <row r="664" spans="1:19" ht="15" customHeight="1" x14ac:dyDescent="0.2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</row>
    <row r="665" spans="1:19" ht="15" customHeight="1" x14ac:dyDescent="0.2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</row>
    <row r="666" spans="1:19" ht="15" customHeight="1" x14ac:dyDescent="0.2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</row>
    <row r="667" spans="1:19" ht="15" customHeight="1" x14ac:dyDescent="0.2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</row>
    <row r="668" spans="1:19" ht="15" customHeight="1" x14ac:dyDescent="0.2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</row>
    <row r="669" spans="1:19" ht="15" customHeight="1" x14ac:dyDescent="0.2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</row>
    <row r="670" spans="1:19" ht="15" customHeight="1" x14ac:dyDescent="0.2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</row>
    <row r="671" spans="1:19" ht="15" customHeight="1" x14ac:dyDescent="0.2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</row>
    <row r="672" spans="1:19" ht="15" customHeight="1" x14ac:dyDescent="0.2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</row>
    <row r="673" spans="1:19" ht="15" customHeight="1" x14ac:dyDescent="0.2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</row>
    <row r="674" spans="1:19" ht="15" customHeight="1" x14ac:dyDescent="0.2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</row>
    <row r="675" spans="1:19" ht="15" customHeight="1" x14ac:dyDescent="0.2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</row>
    <row r="676" spans="1:19" ht="15" customHeight="1" x14ac:dyDescent="0.2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</row>
    <row r="677" spans="1:19" ht="15" customHeight="1" x14ac:dyDescent="0.2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</row>
    <row r="678" spans="1:19" ht="15" customHeight="1" x14ac:dyDescent="0.2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</row>
    <row r="679" spans="1:19" ht="15" customHeight="1" x14ac:dyDescent="0.2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</row>
    <row r="680" spans="1:19" ht="15" customHeight="1" x14ac:dyDescent="0.2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</row>
    <row r="681" spans="1:19" ht="15" customHeight="1" x14ac:dyDescent="0.2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</row>
    <row r="682" spans="1:19" ht="15" customHeight="1" x14ac:dyDescent="0.2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</row>
    <row r="683" spans="1:19" ht="15" customHeight="1" x14ac:dyDescent="0.2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</row>
    <row r="684" spans="1:19" ht="15" customHeight="1" x14ac:dyDescent="0.2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</row>
    <row r="685" spans="1:19" ht="15" customHeight="1" x14ac:dyDescent="0.2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</row>
    <row r="686" spans="1:19" ht="15" customHeight="1" x14ac:dyDescent="0.2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</row>
    <row r="687" spans="1:19" ht="15" customHeight="1" x14ac:dyDescent="0.2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</row>
    <row r="688" spans="1:19" ht="15" customHeight="1" x14ac:dyDescent="0.2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</row>
    <row r="689" spans="1:19" ht="15" customHeight="1" x14ac:dyDescent="0.2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</row>
    <row r="690" spans="1:19" ht="15" customHeight="1" x14ac:dyDescent="0.2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</row>
    <row r="691" spans="1:19" ht="15" customHeight="1" x14ac:dyDescent="0.2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</row>
    <row r="692" spans="1:19" ht="15" customHeight="1" x14ac:dyDescent="0.2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</row>
    <row r="693" spans="1:19" ht="15" customHeight="1" x14ac:dyDescent="0.2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</row>
    <row r="694" spans="1:19" ht="15" customHeight="1" x14ac:dyDescent="0.2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</row>
    <row r="695" spans="1:19" ht="15" customHeight="1" x14ac:dyDescent="0.2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</row>
    <row r="696" spans="1:19" ht="15" customHeight="1" x14ac:dyDescent="0.2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</row>
    <row r="697" spans="1:19" ht="15" customHeight="1" x14ac:dyDescent="0.2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</row>
    <row r="698" spans="1:19" ht="15" customHeight="1" x14ac:dyDescent="0.2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</row>
    <row r="699" spans="1:19" ht="15" customHeight="1" x14ac:dyDescent="0.2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</row>
    <row r="700" spans="1:19" ht="15" customHeight="1" x14ac:dyDescent="0.2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</row>
    <row r="701" spans="1:19" ht="15" customHeight="1" x14ac:dyDescent="0.2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</row>
    <row r="702" spans="1:19" ht="15" customHeight="1" x14ac:dyDescent="0.2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</row>
    <row r="703" spans="1:19" ht="15" customHeight="1" x14ac:dyDescent="0.2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</row>
    <row r="704" spans="1:19" ht="15" customHeight="1" x14ac:dyDescent="0.2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</row>
    <row r="705" spans="1:19" ht="15" customHeight="1" x14ac:dyDescent="0.2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</row>
    <row r="706" spans="1:19" ht="15" customHeight="1" x14ac:dyDescent="0.2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</row>
    <row r="707" spans="1:19" ht="15" customHeight="1" x14ac:dyDescent="0.2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</row>
    <row r="708" spans="1:19" ht="15" customHeight="1" x14ac:dyDescent="0.2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</row>
    <row r="709" spans="1:19" ht="15" customHeight="1" x14ac:dyDescent="0.2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</row>
    <row r="710" spans="1:19" ht="15" customHeight="1" x14ac:dyDescent="0.2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</row>
    <row r="711" spans="1:19" ht="15" customHeight="1" x14ac:dyDescent="0.2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</row>
    <row r="712" spans="1:19" ht="15" customHeight="1" x14ac:dyDescent="0.2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</row>
    <row r="713" spans="1:19" ht="15" customHeight="1" x14ac:dyDescent="0.2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</row>
    <row r="714" spans="1:19" ht="15" customHeight="1" x14ac:dyDescent="0.2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</row>
    <row r="715" spans="1:19" ht="15" customHeight="1" x14ac:dyDescent="0.2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</row>
    <row r="716" spans="1:19" ht="15" customHeight="1" x14ac:dyDescent="0.2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</row>
    <row r="717" spans="1:19" ht="15" customHeight="1" x14ac:dyDescent="0.2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</row>
    <row r="718" spans="1:19" ht="15" customHeight="1" x14ac:dyDescent="0.2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</row>
    <row r="719" spans="1:19" ht="15" customHeight="1" x14ac:dyDescent="0.2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</row>
    <row r="720" spans="1:19" ht="15" customHeight="1" x14ac:dyDescent="0.2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</row>
    <row r="721" spans="1:19" ht="15" customHeight="1" x14ac:dyDescent="0.2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</row>
    <row r="722" spans="1:19" ht="15" customHeight="1" x14ac:dyDescent="0.2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</row>
    <row r="723" spans="1:19" ht="15" customHeight="1" x14ac:dyDescent="0.2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</row>
    <row r="724" spans="1:19" ht="15" customHeight="1" x14ac:dyDescent="0.2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</row>
    <row r="725" spans="1:19" ht="15" customHeight="1" x14ac:dyDescent="0.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</row>
    <row r="726" spans="1:19" ht="15" customHeight="1" x14ac:dyDescent="0.2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</row>
    <row r="727" spans="1:19" ht="15" customHeight="1" x14ac:dyDescent="0.2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</row>
    <row r="728" spans="1:19" ht="15" customHeight="1" x14ac:dyDescent="0.2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</row>
    <row r="729" spans="1:19" ht="15" customHeight="1" x14ac:dyDescent="0.2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</row>
    <row r="730" spans="1:19" ht="15" customHeight="1" x14ac:dyDescent="0.2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</row>
    <row r="731" spans="1:19" ht="15" customHeight="1" x14ac:dyDescent="0.2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</row>
    <row r="732" spans="1:19" ht="15" customHeight="1" x14ac:dyDescent="0.2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</row>
    <row r="733" spans="1:19" ht="15" customHeight="1" x14ac:dyDescent="0.2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</row>
    <row r="734" spans="1:19" ht="15" customHeight="1" x14ac:dyDescent="0.2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</row>
    <row r="735" spans="1:19" ht="15" customHeight="1" x14ac:dyDescent="0.2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</row>
    <row r="736" spans="1:19" ht="15" customHeight="1" x14ac:dyDescent="0.2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</row>
    <row r="737" spans="1:19" ht="15" customHeight="1" x14ac:dyDescent="0.2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</row>
    <row r="738" spans="1:19" ht="15" customHeight="1" x14ac:dyDescent="0.2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</row>
    <row r="739" spans="1:19" ht="15" customHeight="1" x14ac:dyDescent="0.2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</row>
    <row r="740" spans="1:19" ht="15" customHeight="1" x14ac:dyDescent="0.2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</row>
    <row r="741" spans="1:19" ht="15" customHeight="1" x14ac:dyDescent="0.2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</row>
    <row r="742" spans="1:19" ht="15" customHeight="1" x14ac:dyDescent="0.2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</row>
    <row r="743" spans="1:19" ht="15" customHeight="1" x14ac:dyDescent="0.2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</row>
    <row r="744" spans="1:19" ht="15" customHeight="1" x14ac:dyDescent="0.2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</row>
    <row r="745" spans="1:19" ht="15" customHeight="1" x14ac:dyDescent="0.2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</row>
    <row r="746" spans="1:19" ht="15" customHeight="1" x14ac:dyDescent="0.2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</row>
    <row r="747" spans="1:19" ht="15" customHeight="1" x14ac:dyDescent="0.2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</row>
    <row r="748" spans="1:19" ht="15" customHeight="1" x14ac:dyDescent="0.2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</row>
    <row r="749" spans="1:19" ht="15" customHeight="1" x14ac:dyDescent="0.2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</row>
    <row r="750" spans="1:19" ht="15" customHeight="1" x14ac:dyDescent="0.2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</row>
    <row r="751" spans="1:19" ht="15" customHeight="1" x14ac:dyDescent="0.2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</row>
    <row r="752" spans="1:19" ht="15" customHeight="1" x14ac:dyDescent="0.2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</row>
    <row r="753" spans="1:19" ht="15" customHeight="1" x14ac:dyDescent="0.2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</row>
    <row r="754" spans="1:19" ht="15" customHeight="1" x14ac:dyDescent="0.2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</row>
    <row r="755" spans="1:19" ht="15" customHeight="1" x14ac:dyDescent="0.2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</row>
    <row r="756" spans="1:19" ht="15" customHeight="1" x14ac:dyDescent="0.2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</row>
    <row r="757" spans="1:19" ht="15" customHeight="1" x14ac:dyDescent="0.2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</row>
    <row r="758" spans="1:19" ht="15" customHeight="1" x14ac:dyDescent="0.2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</row>
    <row r="759" spans="1:19" ht="15" customHeight="1" x14ac:dyDescent="0.2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</row>
    <row r="760" spans="1:19" ht="15" customHeight="1" x14ac:dyDescent="0.2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</row>
    <row r="761" spans="1:19" ht="15" customHeight="1" x14ac:dyDescent="0.2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</row>
    <row r="762" spans="1:19" ht="15" customHeight="1" x14ac:dyDescent="0.2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</row>
    <row r="763" spans="1:19" ht="15" customHeight="1" x14ac:dyDescent="0.2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</row>
    <row r="764" spans="1:19" ht="15" customHeight="1" x14ac:dyDescent="0.2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</row>
    <row r="765" spans="1:19" ht="15" customHeight="1" x14ac:dyDescent="0.2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</row>
    <row r="766" spans="1:19" ht="15" customHeight="1" x14ac:dyDescent="0.2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</row>
    <row r="767" spans="1:19" ht="15" customHeight="1" x14ac:dyDescent="0.2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</row>
    <row r="768" spans="1:19" ht="15" customHeight="1" x14ac:dyDescent="0.2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</row>
    <row r="769" spans="1:19" ht="15" customHeight="1" x14ac:dyDescent="0.2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</row>
    <row r="770" spans="1:19" ht="15" customHeight="1" x14ac:dyDescent="0.2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</row>
    <row r="771" spans="1:19" ht="15" customHeight="1" x14ac:dyDescent="0.2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</row>
    <row r="772" spans="1:19" ht="15" customHeight="1" x14ac:dyDescent="0.2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</row>
    <row r="773" spans="1:19" ht="15" customHeight="1" x14ac:dyDescent="0.2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</row>
    <row r="774" spans="1:19" ht="15" customHeight="1" x14ac:dyDescent="0.2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</row>
    <row r="775" spans="1:19" ht="15" customHeight="1" x14ac:dyDescent="0.2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</row>
    <row r="776" spans="1:19" ht="15" customHeight="1" x14ac:dyDescent="0.2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</row>
    <row r="777" spans="1:19" ht="15" customHeight="1" x14ac:dyDescent="0.2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</row>
    <row r="778" spans="1:19" ht="15" customHeight="1" x14ac:dyDescent="0.2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</row>
    <row r="779" spans="1:19" ht="15" customHeight="1" x14ac:dyDescent="0.2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</row>
    <row r="780" spans="1:19" ht="15" customHeight="1" x14ac:dyDescent="0.2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</row>
    <row r="781" spans="1:19" ht="15" customHeight="1" x14ac:dyDescent="0.2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</row>
    <row r="782" spans="1:19" ht="15" customHeight="1" x14ac:dyDescent="0.2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</row>
    <row r="783" spans="1:19" ht="15" customHeight="1" x14ac:dyDescent="0.2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</row>
    <row r="784" spans="1:19" ht="15" customHeight="1" x14ac:dyDescent="0.2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</row>
    <row r="785" spans="1:19" ht="15" customHeight="1" x14ac:dyDescent="0.2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</row>
    <row r="786" spans="1:19" ht="15" customHeight="1" x14ac:dyDescent="0.2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</row>
    <row r="787" spans="1:19" ht="15" customHeight="1" x14ac:dyDescent="0.2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</row>
    <row r="788" spans="1:19" ht="15" customHeight="1" x14ac:dyDescent="0.2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</row>
    <row r="789" spans="1:19" ht="15" customHeight="1" x14ac:dyDescent="0.2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</row>
    <row r="790" spans="1:19" ht="15" customHeight="1" x14ac:dyDescent="0.2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</row>
    <row r="791" spans="1:19" ht="15" customHeight="1" x14ac:dyDescent="0.2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</row>
    <row r="792" spans="1:19" ht="15" customHeight="1" x14ac:dyDescent="0.2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</row>
    <row r="793" spans="1:19" ht="15" customHeight="1" x14ac:dyDescent="0.2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</row>
    <row r="794" spans="1:19" ht="15" customHeight="1" x14ac:dyDescent="0.2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</row>
    <row r="795" spans="1:19" ht="15" customHeight="1" x14ac:dyDescent="0.2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</row>
    <row r="796" spans="1:19" ht="15" customHeight="1" x14ac:dyDescent="0.2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</row>
    <row r="797" spans="1:19" ht="15" customHeight="1" x14ac:dyDescent="0.2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</row>
    <row r="798" spans="1:19" ht="15" customHeight="1" x14ac:dyDescent="0.2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</row>
    <row r="799" spans="1:19" ht="15" customHeight="1" x14ac:dyDescent="0.2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</row>
    <row r="800" spans="1:19" ht="15" customHeight="1" x14ac:dyDescent="0.2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</row>
    <row r="801" spans="1:19" ht="15" customHeight="1" x14ac:dyDescent="0.2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</row>
    <row r="802" spans="1:19" ht="15" customHeight="1" x14ac:dyDescent="0.2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</row>
    <row r="803" spans="1:19" ht="15" customHeight="1" x14ac:dyDescent="0.2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</row>
    <row r="804" spans="1:19" ht="15" customHeight="1" x14ac:dyDescent="0.2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</row>
    <row r="805" spans="1:19" ht="15" customHeight="1" x14ac:dyDescent="0.2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</row>
    <row r="806" spans="1:19" ht="15" customHeight="1" x14ac:dyDescent="0.2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</row>
    <row r="807" spans="1:19" ht="15" customHeight="1" x14ac:dyDescent="0.2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</row>
    <row r="808" spans="1:19" ht="15" customHeight="1" x14ac:dyDescent="0.2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</row>
    <row r="809" spans="1:19" ht="15" customHeight="1" x14ac:dyDescent="0.2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</row>
    <row r="810" spans="1:19" ht="15" customHeight="1" x14ac:dyDescent="0.2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</row>
    <row r="811" spans="1:19" ht="15" customHeight="1" x14ac:dyDescent="0.2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</row>
    <row r="812" spans="1:19" ht="15" customHeight="1" x14ac:dyDescent="0.2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</row>
    <row r="813" spans="1:19" ht="15" customHeight="1" x14ac:dyDescent="0.2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</row>
    <row r="814" spans="1:19" ht="15" customHeight="1" x14ac:dyDescent="0.2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</row>
    <row r="815" spans="1:19" ht="15" customHeight="1" x14ac:dyDescent="0.2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</row>
    <row r="816" spans="1:19" ht="15" customHeight="1" x14ac:dyDescent="0.2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</row>
    <row r="817" spans="1:19" ht="15" customHeight="1" x14ac:dyDescent="0.2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</row>
    <row r="818" spans="1:19" ht="15" customHeight="1" x14ac:dyDescent="0.2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</row>
    <row r="819" spans="1:19" ht="15" customHeight="1" x14ac:dyDescent="0.2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</row>
    <row r="820" spans="1:19" ht="15" customHeight="1" x14ac:dyDescent="0.2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</row>
    <row r="821" spans="1:19" ht="15" customHeight="1" x14ac:dyDescent="0.2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</row>
    <row r="822" spans="1:19" ht="15" customHeight="1" x14ac:dyDescent="0.2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</row>
    <row r="823" spans="1:19" ht="15" customHeight="1" x14ac:dyDescent="0.2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</row>
    <row r="824" spans="1:19" ht="15" customHeight="1" x14ac:dyDescent="0.2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</row>
    <row r="825" spans="1:19" ht="15" customHeight="1" x14ac:dyDescent="0.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</row>
    <row r="826" spans="1:19" ht="15" customHeight="1" x14ac:dyDescent="0.2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</row>
    <row r="827" spans="1:19" ht="15" customHeight="1" x14ac:dyDescent="0.2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</row>
    <row r="828" spans="1:19" ht="15" customHeight="1" x14ac:dyDescent="0.2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</row>
    <row r="829" spans="1:19" ht="15" customHeight="1" x14ac:dyDescent="0.2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</row>
    <row r="830" spans="1:19" ht="15" customHeight="1" x14ac:dyDescent="0.2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</row>
    <row r="831" spans="1:19" ht="15" customHeight="1" x14ac:dyDescent="0.2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</row>
    <row r="832" spans="1:19" ht="15" customHeight="1" x14ac:dyDescent="0.2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</row>
    <row r="833" spans="1:19" ht="15" customHeight="1" x14ac:dyDescent="0.2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</row>
    <row r="834" spans="1:19" ht="15" customHeight="1" x14ac:dyDescent="0.2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</row>
    <row r="835" spans="1:19" ht="15" customHeight="1" x14ac:dyDescent="0.2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</row>
    <row r="836" spans="1:19" ht="15" customHeight="1" x14ac:dyDescent="0.2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</row>
    <row r="837" spans="1:19" ht="15" customHeight="1" x14ac:dyDescent="0.2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</row>
    <row r="838" spans="1:19" ht="15" customHeight="1" x14ac:dyDescent="0.2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</row>
    <row r="839" spans="1:19" ht="15" customHeight="1" x14ac:dyDescent="0.2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</row>
    <row r="840" spans="1:19" ht="15" customHeight="1" x14ac:dyDescent="0.2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</row>
    <row r="841" spans="1:19" ht="15" customHeight="1" x14ac:dyDescent="0.2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</row>
    <row r="842" spans="1:19" ht="15" customHeight="1" x14ac:dyDescent="0.2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</row>
    <row r="843" spans="1:19" ht="15" customHeight="1" x14ac:dyDescent="0.2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</row>
    <row r="844" spans="1:19" ht="15" customHeight="1" x14ac:dyDescent="0.2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</row>
    <row r="845" spans="1:19" ht="15" customHeight="1" x14ac:dyDescent="0.2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</row>
    <row r="846" spans="1:19" ht="15" customHeight="1" x14ac:dyDescent="0.2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</row>
    <row r="847" spans="1:19" ht="15" customHeight="1" x14ac:dyDescent="0.2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</row>
    <row r="848" spans="1:19" ht="15" customHeight="1" x14ac:dyDescent="0.2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</row>
    <row r="849" spans="1:19" ht="15" customHeight="1" x14ac:dyDescent="0.2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</row>
    <row r="850" spans="1:19" ht="15" customHeight="1" x14ac:dyDescent="0.2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</row>
    <row r="851" spans="1:19" ht="15" customHeight="1" x14ac:dyDescent="0.2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</row>
    <row r="852" spans="1:19" ht="15" customHeight="1" x14ac:dyDescent="0.2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</row>
    <row r="853" spans="1:19" ht="15" customHeight="1" x14ac:dyDescent="0.2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</row>
    <row r="854" spans="1:19" ht="15" customHeight="1" x14ac:dyDescent="0.2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</row>
    <row r="855" spans="1:19" ht="15" customHeight="1" x14ac:dyDescent="0.2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</row>
    <row r="856" spans="1:19" ht="15" customHeight="1" x14ac:dyDescent="0.2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</row>
    <row r="857" spans="1:19" ht="15" customHeight="1" x14ac:dyDescent="0.2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</row>
    <row r="858" spans="1:19" ht="15" customHeight="1" x14ac:dyDescent="0.2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</row>
    <row r="859" spans="1:19" ht="15" customHeight="1" x14ac:dyDescent="0.2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</row>
    <row r="860" spans="1:19" ht="15" customHeight="1" x14ac:dyDescent="0.2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</row>
    <row r="861" spans="1:19" ht="15" customHeight="1" x14ac:dyDescent="0.2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</row>
    <row r="862" spans="1:19" ht="15" customHeight="1" x14ac:dyDescent="0.2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</row>
    <row r="863" spans="1:19" ht="15" customHeight="1" x14ac:dyDescent="0.2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</row>
    <row r="864" spans="1:19" ht="15" customHeight="1" x14ac:dyDescent="0.2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</row>
    <row r="865" spans="1:19" ht="15" customHeight="1" x14ac:dyDescent="0.2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</row>
    <row r="866" spans="1:19" ht="15" customHeight="1" x14ac:dyDescent="0.2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</row>
    <row r="867" spans="1:19" ht="15" customHeight="1" x14ac:dyDescent="0.2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</row>
    <row r="868" spans="1:19" ht="15" customHeight="1" x14ac:dyDescent="0.2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</row>
    <row r="869" spans="1:19" ht="15" customHeight="1" x14ac:dyDescent="0.2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</row>
    <row r="870" spans="1:19" ht="15" customHeight="1" x14ac:dyDescent="0.2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</row>
    <row r="871" spans="1:19" ht="15" customHeight="1" x14ac:dyDescent="0.2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</row>
    <row r="872" spans="1:19" ht="15" customHeight="1" x14ac:dyDescent="0.2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</row>
    <row r="873" spans="1:19" ht="15" customHeight="1" x14ac:dyDescent="0.2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</row>
    <row r="874" spans="1:19" ht="15" customHeight="1" x14ac:dyDescent="0.2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</row>
    <row r="875" spans="1:19" ht="15" customHeight="1" x14ac:dyDescent="0.2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</row>
    <row r="876" spans="1:19" ht="15" customHeight="1" x14ac:dyDescent="0.2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</row>
    <row r="877" spans="1:19" ht="15" customHeight="1" x14ac:dyDescent="0.2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</row>
    <row r="878" spans="1:19" ht="15" customHeight="1" x14ac:dyDescent="0.2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</row>
    <row r="879" spans="1:19" ht="15" customHeight="1" x14ac:dyDescent="0.2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</row>
    <row r="880" spans="1:19" ht="15" customHeight="1" x14ac:dyDescent="0.2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</row>
    <row r="881" spans="1:19" ht="15" customHeight="1" x14ac:dyDescent="0.2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</row>
    <row r="882" spans="1:19" ht="15" customHeight="1" x14ac:dyDescent="0.2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</row>
    <row r="883" spans="1:19" ht="15" customHeight="1" x14ac:dyDescent="0.2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</row>
    <row r="884" spans="1:19" ht="15" customHeight="1" x14ac:dyDescent="0.2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</row>
    <row r="885" spans="1:19" ht="15" customHeight="1" x14ac:dyDescent="0.2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</row>
    <row r="886" spans="1:19" ht="15" customHeight="1" x14ac:dyDescent="0.2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</row>
    <row r="887" spans="1:19" ht="15" customHeight="1" x14ac:dyDescent="0.2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</row>
    <row r="888" spans="1:19" ht="15" customHeight="1" x14ac:dyDescent="0.2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</row>
    <row r="889" spans="1:19" ht="15" customHeight="1" x14ac:dyDescent="0.2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</row>
    <row r="890" spans="1:19" ht="15" customHeight="1" x14ac:dyDescent="0.2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</row>
    <row r="891" spans="1:19" ht="15" customHeight="1" x14ac:dyDescent="0.2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</row>
    <row r="892" spans="1:19" ht="15" customHeight="1" x14ac:dyDescent="0.2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</row>
    <row r="893" spans="1:19" ht="15" customHeight="1" x14ac:dyDescent="0.2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</row>
    <row r="894" spans="1:19" ht="15" customHeight="1" x14ac:dyDescent="0.2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</row>
    <row r="895" spans="1:19" ht="15" customHeight="1" x14ac:dyDescent="0.2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</row>
    <row r="896" spans="1:19" ht="15" customHeight="1" x14ac:dyDescent="0.2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</row>
    <row r="897" spans="1:19" ht="15" customHeight="1" x14ac:dyDescent="0.2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</row>
    <row r="898" spans="1:19" ht="15" customHeight="1" x14ac:dyDescent="0.2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</row>
    <row r="899" spans="1:19" ht="15" customHeight="1" x14ac:dyDescent="0.2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</row>
    <row r="900" spans="1:19" ht="15" customHeight="1" x14ac:dyDescent="0.2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</row>
    <row r="901" spans="1:19" ht="15" customHeight="1" x14ac:dyDescent="0.2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</row>
    <row r="902" spans="1:19" ht="15" customHeight="1" x14ac:dyDescent="0.2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</row>
    <row r="903" spans="1:19" ht="15" customHeight="1" x14ac:dyDescent="0.2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</row>
    <row r="904" spans="1:19" ht="15" customHeight="1" x14ac:dyDescent="0.2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</row>
    <row r="905" spans="1:19" ht="15" customHeight="1" x14ac:dyDescent="0.2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</row>
    <row r="906" spans="1:19" ht="15" customHeight="1" x14ac:dyDescent="0.2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</row>
    <row r="907" spans="1:19" ht="15" customHeight="1" x14ac:dyDescent="0.2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</row>
    <row r="908" spans="1:19" ht="15" customHeight="1" x14ac:dyDescent="0.2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</row>
    <row r="909" spans="1:19" ht="15" customHeight="1" x14ac:dyDescent="0.2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</row>
    <row r="910" spans="1:19" ht="15" customHeight="1" x14ac:dyDescent="0.2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</row>
    <row r="911" spans="1:19" ht="15" customHeight="1" x14ac:dyDescent="0.2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</row>
    <row r="912" spans="1:19" ht="15" customHeight="1" x14ac:dyDescent="0.2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</row>
    <row r="913" spans="1:19" ht="15" customHeight="1" x14ac:dyDescent="0.2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</row>
    <row r="914" spans="1:19" ht="15" customHeight="1" x14ac:dyDescent="0.2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</row>
    <row r="915" spans="1:19" ht="15" customHeight="1" x14ac:dyDescent="0.2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</row>
    <row r="916" spans="1:19" ht="15" customHeight="1" x14ac:dyDescent="0.2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</row>
    <row r="917" spans="1:19" ht="15" customHeight="1" x14ac:dyDescent="0.2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</row>
    <row r="918" spans="1:19" ht="15" customHeight="1" x14ac:dyDescent="0.2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</row>
    <row r="919" spans="1:19" ht="15" customHeight="1" x14ac:dyDescent="0.2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</row>
    <row r="920" spans="1:19" ht="15" customHeight="1" x14ac:dyDescent="0.2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</row>
    <row r="921" spans="1:19" ht="15" customHeight="1" x14ac:dyDescent="0.2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</row>
    <row r="922" spans="1:19" ht="15" customHeight="1" x14ac:dyDescent="0.2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</row>
    <row r="923" spans="1:19" ht="15" customHeight="1" x14ac:dyDescent="0.2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</row>
    <row r="924" spans="1:19" ht="15" customHeight="1" x14ac:dyDescent="0.2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</row>
    <row r="925" spans="1:19" ht="15" customHeight="1" x14ac:dyDescent="0.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</row>
    <row r="926" spans="1:19" ht="15" customHeight="1" x14ac:dyDescent="0.2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</row>
    <row r="927" spans="1:19" ht="15" customHeight="1" x14ac:dyDescent="0.2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</row>
    <row r="928" spans="1:19" ht="15" customHeight="1" x14ac:dyDescent="0.2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</row>
    <row r="929" spans="1:19" ht="15" customHeight="1" x14ac:dyDescent="0.2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</row>
    <row r="930" spans="1:19" ht="15" customHeight="1" x14ac:dyDescent="0.2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</row>
    <row r="931" spans="1:19" ht="15" customHeight="1" x14ac:dyDescent="0.2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</row>
    <row r="932" spans="1:19" ht="15" customHeight="1" x14ac:dyDescent="0.2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</row>
    <row r="933" spans="1:19" ht="15" customHeight="1" x14ac:dyDescent="0.2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</row>
    <row r="934" spans="1:19" ht="15" customHeight="1" x14ac:dyDescent="0.2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</row>
    <row r="935" spans="1:19" ht="15" customHeight="1" x14ac:dyDescent="0.2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</row>
    <row r="936" spans="1:19" ht="15" customHeight="1" x14ac:dyDescent="0.2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</row>
    <row r="937" spans="1:19" ht="15" customHeight="1" x14ac:dyDescent="0.2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</row>
    <row r="938" spans="1:19" ht="15" customHeight="1" x14ac:dyDescent="0.2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</row>
    <row r="939" spans="1:19" ht="15" customHeight="1" x14ac:dyDescent="0.2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</row>
    <row r="940" spans="1:19" ht="15" customHeight="1" x14ac:dyDescent="0.2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</row>
    <row r="941" spans="1:19" ht="15" customHeight="1" x14ac:dyDescent="0.2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</row>
    <row r="942" spans="1:19" ht="15" customHeight="1" x14ac:dyDescent="0.2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</row>
    <row r="943" spans="1:19" ht="15" customHeight="1" x14ac:dyDescent="0.2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</row>
    <row r="944" spans="1:19" ht="15" customHeight="1" x14ac:dyDescent="0.2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</row>
    <row r="945" spans="1:19" ht="15" customHeight="1" x14ac:dyDescent="0.2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</row>
    <row r="946" spans="1:19" ht="15" customHeight="1" x14ac:dyDescent="0.2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</row>
    <row r="947" spans="1:19" ht="15" customHeight="1" x14ac:dyDescent="0.2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</row>
    <row r="948" spans="1:19" ht="15" customHeight="1" x14ac:dyDescent="0.2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</row>
    <row r="949" spans="1:19" ht="15" customHeight="1" x14ac:dyDescent="0.2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</row>
    <row r="950" spans="1:19" ht="15" customHeight="1" x14ac:dyDescent="0.2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</row>
    <row r="951" spans="1:19" ht="15" customHeight="1" x14ac:dyDescent="0.2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</row>
    <row r="952" spans="1:19" ht="15" customHeight="1" x14ac:dyDescent="0.2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</row>
    <row r="953" spans="1:19" ht="15" customHeight="1" x14ac:dyDescent="0.2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</row>
    <row r="954" spans="1:19" ht="15" customHeight="1" x14ac:dyDescent="0.2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</row>
    <row r="955" spans="1:19" ht="15" customHeight="1" x14ac:dyDescent="0.2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</row>
    <row r="956" spans="1:19" ht="15" customHeight="1" x14ac:dyDescent="0.2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</row>
    <row r="957" spans="1:19" ht="15" customHeight="1" x14ac:dyDescent="0.2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</row>
    <row r="958" spans="1:19" ht="15" customHeight="1" x14ac:dyDescent="0.2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</row>
    <row r="959" spans="1:19" ht="15" customHeight="1" x14ac:dyDescent="0.2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</row>
    <row r="960" spans="1:19" ht="15" customHeight="1" x14ac:dyDescent="0.2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</row>
    <row r="961" spans="1:19" ht="15" customHeight="1" x14ac:dyDescent="0.2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</row>
    <row r="962" spans="1:19" ht="15" customHeight="1" x14ac:dyDescent="0.2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</row>
    <row r="963" spans="1:19" ht="15" customHeight="1" x14ac:dyDescent="0.2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</row>
    <row r="964" spans="1:19" ht="15" customHeight="1" x14ac:dyDescent="0.2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</row>
    <row r="965" spans="1:19" ht="15" customHeight="1" x14ac:dyDescent="0.2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</row>
    <row r="966" spans="1:19" ht="15" customHeight="1" x14ac:dyDescent="0.2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</row>
    <row r="967" spans="1:19" ht="15" customHeight="1" x14ac:dyDescent="0.2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</row>
    <row r="968" spans="1:19" ht="15" customHeight="1" x14ac:dyDescent="0.2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</row>
    <row r="969" spans="1:19" ht="15" customHeight="1" x14ac:dyDescent="0.2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</row>
    <row r="970" spans="1:19" ht="15" customHeight="1" x14ac:dyDescent="0.2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</row>
    <row r="971" spans="1:19" ht="15" customHeight="1" x14ac:dyDescent="0.2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</row>
    <row r="972" spans="1:19" ht="15" customHeight="1" x14ac:dyDescent="0.2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</row>
    <row r="973" spans="1:19" ht="15" customHeight="1" x14ac:dyDescent="0.2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</row>
    <row r="974" spans="1:19" ht="15" customHeight="1" x14ac:dyDescent="0.2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</row>
    <row r="975" spans="1:19" ht="15" customHeight="1" x14ac:dyDescent="0.2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</row>
    <row r="976" spans="1:19" ht="15" customHeight="1" x14ac:dyDescent="0.2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</row>
    <row r="977" spans="1:19" ht="15" customHeight="1" x14ac:dyDescent="0.2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</row>
    <row r="978" spans="1:19" ht="15" customHeight="1" x14ac:dyDescent="0.2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</row>
    <row r="979" spans="1:19" ht="15" customHeight="1" x14ac:dyDescent="0.2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</row>
    <row r="980" spans="1:19" ht="15" customHeight="1" x14ac:dyDescent="0.2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</row>
    <row r="981" spans="1:19" ht="15" customHeight="1" x14ac:dyDescent="0.2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</row>
    <row r="982" spans="1:19" ht="15" customHeight="1" x14ac:dyDescent="0.2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</row>
    <row r="983" spans="1:19" ht="15" customHeight="1" x14ac:dyDescent="0.2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</row>
    <row r="984" spans="1:19" ht="15" customHeight="1" x14ac:dyDescent="0.2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</row>
    <row r="985" spans="1:19" ht="15" customHeight="1" x14ac:dyDescent="0.2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</row>
    <row r="986" spans="1:19" ht="15" customHeight="1" x14ac:dyDescent="0.2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</row>
    <row r="987" spans="1:19" ht="15" customHeight="1" x14ac:dyDescent="0.2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</row>
    <row r="988" spans="1:19" ht="15" customHeight="1" x14ac:dyDescent="0.2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</row>
    <row r="989" spans="1:19" ht="15" customHeight="1" x14ac:dyDescent="0.2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</row>
    <row r="990" spans="1:19" ht="15" customHeight="1" x14ac:dyDescent="0.2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</row>
    <row r="991" spans="1:19" ht="15" customHeight="1" x14ac:dyDescent="0.2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</row>
    <row r="992" spans="1:19" ht="15" customHeight="1" x14ac:dyDescent="0.2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</row>
    <row r="993" spans="1:19" ht="15" customHeight="1" x14ac:dyDescent="0.2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</row>
    <row r="994" spans="1:19" ht="15" customHeight="1" x14ac:dyDescent="0.2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</row>
    <row r="995" spans="1:19" ht="15" customHeight="1" x14ac:dyDescent="0.2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</row>
    <row r="996" spans="1:19" ht="15" customHeight="1" x14ac:dyDescent="0.2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</row>
    <row r="997" spans="1:19" ht="15" customHeight="1" x14ac:dyDescent="0.2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</row>
    <row r="998" spans="1:19" ht="15" customHeight="1" x14ac:dyDescent="0.25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</row>
    <row r="999" spans="1:19" ht="15" customHeight="1" x14ac:dyDescent="0.25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</row>
    <row r="1000" spans="1:19" ht="15" customHeight="1" x14ac:dyDescent="0.25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</row>
    <row r="1001" spans="1:19" ht="15" customHeight="1" x14ac:dyDescent="0.25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</row>
    <row r="1002" spans="1:19" ht="15" customHeight="1" x14ac:dyDescent="0.25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</row>
    <row r="1003" spans="1:19" ht="15" customHeight="1" x14ac:dyDescent="0.25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</row>
  </sheetData>
  <pageMargins left="0" right="0" top="0" bottom="0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8"/>
  <sheetViews>
    <sheetView zoomScaleNormal="100" workbookViewId="0">
      <selection activeCell="A86" sqref="A86"/>
    </sheetView>
  </sheetViews>
  <sheetFormatPr defaultColWidth="14.42578125" defaultRowHeight="15" customHeight="1" x14ac:dyDescent="0.25"/>
  <cols>
    <col min="1" max="1" width="47.5703125" customWidth="1"/>
    <col min="2" max="2" width="39.7109375" customWidth="1"/>
    <col min="3" max="3" width="27.140625" customWidth="1"/>
    <col min="4" max="4" width="18.5703125" customWidth="1"/>
    <col min="5" max="5" width="18.140625" bestFit="1" customWidth="1"/>
    <col min="6" max="6" width="23.28515625" customWidth="1"/>
    <col min="7" max="7" width="17.5703125" customWidth="1"/>
  </cols>
  <sheetData>
    <row r="1" spans="1:7" ht="15" customHeight="1" x14ac:dyDescent="0.35">
      <c r="A1" s="18" t="s">
        <v>18</v>
      </c>
      <c r="B1" s="18"/>
      <c r="C1" s="19"/>
      <c r="D1" s="19"/>
      <c r="E1" s="19"/>
      <c r="F1" s="19"/>
      <c r="G1" s="19"/>
    </row>
    <row r="2" spans="1:7" ht="15" customHeight="1" x14ac:dyDescent="0.35">
      <c r="A2" s="20"/>
      <c r="B2" s="20"/>
      <c r="C2" s="21"/>
    </row>
    <row r="3" spans="1:7" ht="15" customHeight="1" x14ac:dyDescent="0.35">
      <c r="A3" s="18" t="s">
        <v>19</v>
      </c>
      <c r="B3" s="18"/>
      <c r="C3" s="19"/>
      <c r="D3" s="18"/>
      <c r="E3" s="18"/>
    </row>
    <row r="4" spans="1:7" ht="18" customHeight="1" x14ac:dyDescent="0.25">
      <c r="A4" s="22" t="s">
        <v>20</v>
      </c>
      <c r="B4" s="117" t="s">
        <v>21</v>
      </c>
      <c r="C4" s="117"/>
      <c r="D4" s="117"/>
      <c r="E4" s="23">
        <v>91500000000</v>
      </c>
    </row>
    <row r="5" spans="1:7" ht="45" customHeight="1" x14ac:dyDescent="0.25">
      <c r="A5" s="22" t="s">
        <v>22</v>
      </c>
      <c r="B5" s="117" t="s">
        <v>23</v>
      </c>
      <c r="C5" s="117"/>
      <c r="D5" s="117"/>
      <c r="E5" s="23">
        <v>20500000000</v>
      </c>
    </row>
    <row r="6" spans="1:7" ht="39" customHeight="1" x14ac:dyDescent="0.25">
      <c r="A6" s="22" t="s">
        <v>24</v>
      </c>
      <c r="B6" s="117" t="s">
        <v>25</v>
      </c>
      <c r="C6" s="117"/>
      <c r="D6" s="117"/>
      <c r="E6" s="23">
        <v>134400000</v>
      </c>
    </row>
    <row r="7" spans="1:7" ht="15" customHeight="1" x14ac:dyDescent="0.25">
      <c r="C7" s="24"/>
      <c r="D7" s="8"/>
    </row>
    <row r="8" spans="1:7" ht="15" customHeight="1" x14ac:dyDescent="0.35">
      <c r="A8" s="18" t="s">
        <v>26</v>
      </c>
      <c r="B8" s="23">
        <v>2</v>
      </c>
      <c r="C8" s="23">
        <v>2</v>
      </c>
      <c r="D8" s="23">
        <v>2</v>
      </c>
    </row>
    <row r="9" spans="1:7" ht="18" customHeight="1" x14ac:dyDescent="0.25">
      <c r="A9" s="6" t="s">
        <v>27</v>
      </c>
      <c r="B9" s="6"/>
      <c r="C9" s="24"/>
    </row>
    <row r="10" spans="1:7" ht="18" customHeight="1" x14ac:dyDescent="0.25">
      <c r="A10" s="6" t="s">
        <v>28</v>
      </c>
      <c r="B10" s="6"/>
      <c r="C10" s="24"/>
    </row>
    <row r="11" spans="1:7" ht="18" customHeight="1" x14ac:dyDescent="0.25">
      <c r="A11" s="6" t="s">
        <v>29</v>
      </c>
      <c r="B11" s="6"/>
      <c r="C11" s="24"/>
    </row>
    <row r="12" spans="1:7" ht="15" customHeight="1" x14ac:dyDescent="0.35">
      <c r="A12" s="16"/>
      <c r="B12" s="16"/>
      <c r="C12" s="16"/>
      <c r="D12" s="16"/>
      <c r="E12" s="16"/>
      <c r="F12" s="16"/>
      <c r="G12" s="16"/>
    </row>
    <row r="13" spans="1:7" ht="15" customHeight="1" x14ac:dyDescent="0.35">
      <c r="A13" s="16"/>
      <c r="B13" s="16"/>
      <c r="C13" s="16"/>
      <c r="D13" s="16"/>
      <c r="E13" s="16"/>
      <c r="F13" s="16"/>
      <c r="G13" s="16"/>
    </row>
    <row r="14" spans="1:7" ht="15" customHeight="1" x14ac:dyDescent="0.35">
      <c r="A14" s="18" t="s">
        <v>30</v>
      </c>
      <c r="B14" s="18" t="s">
        <v>31</v>
      </c>
      <c r="C14" s="18" t="s">
        <v>32</v>
      </c>
      <c r="D14" s="18"/>
      <c r="E14" s="18"/>
      <c r="F14" s="18"/>
      <c r="G14" s="18"/>
    </row>
    <row r="15" spans="1:7" ht="15" customHeight="1" x14ac:dyDescent="0.35">
      <c r="A15" s="20" t="s">
        <v>33</v>
      </c>
      <c r="B15" s="25">
        <v>96000</v>
      </c>
      <c r="C15" s="26"/>
      <c r="D15" s="20"/>
      <c r="F15" s="27" t="s">
        <v>34</v>
      </c>
    </row>
    <row r="16" spans="1:7" ht="15" customHeight="1" x14ac:dyDescent="0.35">
      <c r="A16" s="20" t="s">
        <v>35</v>
      </c>
      <c r="B16" s="26">
        <f>E6/B15</f>
        <v>1400</v>
      </c>
      <c r="C16" s="26">
        <f>B16</f>
        <v>1400</v>
      </c>
      <c r="D16" s="20"/>
      <c r="F16" s="20" t="s">
        <v>36</v>
      </c>
      <c r="G16" s="28">
        <v>0.4</v>
      </c>
    </row>
    <row r="17" spans="1:7" ht="15" customHeight="1" x14ac:dyDescent="0.35">
      <c r="A17" s="20" t="s">
        <v>37</v>
      </c>
      <c r="B17" s="28">
        <v>0.05</v>
      </c>
      <c r="C17" s="26">
        <f>B17*C16</f>
        <v>70</v>
      </c>
      <c r="D17" s="20"/>
      <c r="F17" s="20" t="s">
        <v>38</v>
      </c>
      <c r="G17" s="28">
        <v>0.3</v>
      </c>
    </row>
    <row r="18" spans="1:7" ht="15" customHeight="1" x14ac:dyDescent="0.35">
      <c r="A18" s="20" t="s">
        <v>39</v>
      </c>
      <c r="B18" s="28">
        <v>0.1</v>
      </c>
      <c r="C18" s="26">
        <f>C17/21</f>
        <v>3.3333333333333335</v>
      </c>
      <c r="D18" s="20"/>
      <c r="F18" s="20" t="s">
        <v>40</v>
      </c>
      <c r="G18" s="28">
        <v>0.2</v>
      </c>
    </row>
    <row r="19" spans="1:7" ht="15" customHeight="1" x14ac:dyDescent="0.35">
      <c r="A19" s="20" t="s">
        <v>41</v>
      </c>
      <c r="B19" s="28">
        <v>0.03</v>
      </c>
      <c r="C19" s="24"/>
      <c r="F19" s="20" t="s">
        <v>42</v>
      </c>
      <c r="G19" s="28">
        <v>0.15</v>
      </c>
    </row>
    <row r="21" spans="1:7" ht="15" customHeight="1" x14ac:dyDescent="0.25">
      <c r="C21" s="24"/>
    </row>
    <row r="22" spans="1:7" ht="15" customHeight="1" x14ac:dyDescent="0.35">
      <c r="A22" s="18" t="s">
        <v>43</v>
      </c>
      <c r="B22" s="18"/>
      <c r="C22" s="19"/>
      <c r="D22" s="18"/>
      <c r="E22" s="18"/>
      <c r="F22" s="18"/>
      <c r="G22" s="18"/>
    </row>
    <row r="23" spans="1:7" ht="18" customHeight="1" x14ac:dyDescent="0.25">
      <c r="B23" s="6"/>
      <c r="C23" s="29"/>
    </row>
    <row r="24" spans="1:7" ht="15" customHeight="1" x14ac:dyDescent="0.35">
      <c r="A24" s="30" t="s">
        <v>44</v>
      </c>
      <c r="B24" s="31" t="s">
        <v>45</v>
      </c>
      <c r="C24" s="31" t="s">
        <v>46</v>
      </c>
      <c r="D24" s="31" t="s">
        <v>47</v>
      </c>
      <c r="E24" s="31" t="s">
        <v>48</v>
      </c>
      <c r="F24" s="31" t="s">
        <v>49</v>
      </c>
      <c r="G24" s="31" t="s">
        <v>50</v>
      </c>
    </row>
    <row r="25" spans="1:7" ht="18" customHeight="1" x14ac:dyDescent="0.25">
      <c r="A25" s="22" t="s">
        <v>51</v>
      </c>
      <c r="B25" s="32" t="s">
        <v>52</v>
      </c>
      <c r="C25" s="33">
        <v>1</v>
      </c>
      <c r="D25" s="33">
        <v>0</v>
      </c>
      <c r="E25" s="34">
        <f>1-D25/C25</f>
        <v>1</v>
      </c>
      <c r="F25" s="35">
        <v>0.5</v>
      </c>
      <c r="G25" s="26">
        <f>F25*$B$29</f>
        <v>1</v>
      </c>
    </row>
    <row r="26" spans="1:7" ht="18" customHeight="1" x14ac:dyDescent="0.25">
      <c r="A26" s="22" t="s">
        <v>53</v>
      </c>
      <c r="B26" s="32" t="s">
        <v>54</v>
      </c>
      <c r="C26" s="36">
        <v>500</v>
      </c>
      <c r="D26" s="33">
        <v>150</v>
      </c>
      <c r="E26" s="34">
        <f>1-D26/C26</f>
        <v>0.7</v>
      </c>
      <c r="F26" s="35">
        <v>0.35</v>
      </c>
      <c r="G26" s="26">
        <f>F26*$B$29</f>
        <v>0.7</v>
      </c>
    </row>
    <row r="27" spans="1:7" ht="18" customHeight="1" x14ac:dyDescent="0.25">
      <c r="A27" s="22" t="s">
        <v>55</v>
      </c>
      <c r="B27" s="32" t="s">
        <v>56</v>
      </c>
      <c r="C27" s="36">
        <v>1400</v>
      </c>
      <c r="D27" s="33">
        <v>420</v>
      </c>
      <c r="E27" s="34">
        <f>1-D27/C27</f>
        <v>0.7</v>
      </c>
      <c r="F27" s="35">
        <v>0.15</v>
      </c>
      <c r="G27" s="26">
        <f>F27*$B$29</f>
        <v>0.3</v>
      </c>
    </row>
    <row r="28" spans="1:7" ht="18" customHeight="1" x14ac:dyDescent="0.25">
      <c r="A28" s="37" t="s">
        <v>57</v>
      </c>
      <c r="B28" s="38">
        <v>0.6</v>
      </c>
      <c r="C28" s="24"/>
    </row>
    <row r="29" spans="1:7" ht="18" customHeight="1" x14ac:dyDescent="0.25">
      <c r="A29" s="37" t="s">
        <v>58</v>
      </c>
      <c r="B29" s="39">
        <f>$C$18*B28</f>
        <v>2</v>
      </c>
      <c r="C29" s="24"/>
    </row>
    <row r="30" spans="1:7" ht="15" customHeight="1" x14ac:dyDescent="0.35">
      <c r="A30" s="27" t="s">
        <v>59</v>
      </c>
      <c r="B30" s="28">
        <v>0.03</v>
      </c>
      <c r="C30" s="20"/>
    </row>
    <row r="31" spans="1:7" ht="15" customHeight="1" x14ac:dyDescent="0.25">
      <c r="B31" s="40"/>
      <c r="C31" s="24"/>
    </row>
    <row r="32" spans="1:7" ht="15" customHeight="1" x14ac:dyDescent="0.35">
      <c r="A32" s="30" t="s">
        <v>60</v>
      </c>
      <c r="B32" s="31" t="s">
        <v>45</v>
      </c>
      <c r="C32" s="31" t="s">
        <v>61</v>
      </c>
      <c r="D32" s="31" t="s">
        <v>47</v>
      </c>
      <c r="E32" s="31" t="s">
        <v>48</v>
      </c>
      <c r="F32" s="31" t="s">
        <v>49</v>
      </c>
      <c r="G32" s="31" t="s">
        <v>50</v>
      </c>
    </row>
    <row r="33" spans="1:7" ht="18" customHeight="1" x14ac:dyDescent="0.25">
      <c r="A33" s="22" t="s">
        <v>62</v>
      </c>
      <c r="B33" s="32"/>
      <c r="C33" s="33">
        <v>1</v>
      </c>
      <c r="D33" s="33">
        <v>0</v>
      </c>
      <c r="E33" s="34">
        <f>1-D33/C33</f>
        <v>1</v>
      </c>
      <c r="F33" s="35">
        <v>0</v>
      </c>
      <c r="G33" s="26">
        <f>F33*$B$37</f>
        <v>0</v>
      </c>
    </row>
    <row r="34" spans="1:7" ht="18" customHeight="1" x14ac:dyDescent="0.25">
      <c r="A34" s="22" t="s">
        <v>63</v>
      </c>
      <c r="B34" s="32"/>
      <c r="C34" s="33">
        <v>1</v>
      </c>
      <c r="D34" s="33">
        <v>0</v>
      </c>
      <c r="E34" s="34">
        <f>1-D34/C34</f>
        <v>1</v>
      </c>
      <c r="F34" s="32"/>
      <c r="G34" s="26">
        <f>F34*$B$37</f>
        <v>0</v>
      </c>
    </row>
    <row r="35" spans="1:7" ht="18" customHeight="1" x14ac:dyDescent="0.25">
      <c r="A35" s="22" t="s">
        <v>64</v>
      </c>
      <c r="B35" s="32"/>
      <c r="C35" s="33">
        <v>1</v>
      </c>
      <c r="D35" s="33">
        <v>0</v>
      </c>
      <c r="E35" s="34">
        <f>1-D35/C35</f>
        <v>1</v>
      </c>
      <c r="F35" s="32"/>
      <c r="G35" s="26">
        <f>F35*$B$37</f>
        <v>0</v>
      </c>
    </row>
    <row r="36" spans="1:7" ht="18" customHeight="1" x14ac:dyDescent="0.25">
      <c r="A36" s="37" t="s">
        <v>57</v>
      </c>
      <c r="B36" s="38">
        <v>0</v>
      </c>
      <c r="C36" s="24"/>
    </row>
    <row r="37" spans="1:7" ht="18" customHeight="1" x14ac:dyDescent="0.25">
      <c r="A37" s="37" t="s">
        <v>58</v>
      </c>
      <c r="B37" s="39">
        <f>$C$18*B36</f>
        <v>0</v>
      </c>
      <c r="C37" s="24"/>
    </row>
    <row r="38" spans="1:7" ht="18" customHeight="1" x14ac:dyDescent="0.25">
      <c r="A38" s="22"/>
      <c r="B38" s="22"/>
      <c r="C38" s="41"/>
      <c r="F38" s="22"/>
    </row>
    <row r="39" spans="1:7" ht="15" customHeight="1" x14ac:dyDescent="0.35">
      <c r="A39" s="30" t="s">
        <v>65</v>
      </c>
      <c r="B39" s="31" t="s">
        <v>45</v>
      </c>
      <c r="C39" s="31" t="s">
        <v>46</v>
      </c>
      <c r="D39" s="31" t="s">
        <v>47</v>
      </c>
      <c r="E39" s="31" t="s">
        <v>48</v>
      </c>
      <c r="F39" s="31" t="s">
        <v>49</v>
      </c>
      <c r="G39" s="31" t="s">
        <v>50</v>
      </c>
    </row>
    <row r="40" spans="1:7" ht="18" customHeight="1" x14ac:dyDescent="0.25">
      <c r="A40" s="22" t="s">
        <v>66</v>
      </c>
      <c r="B40" s="32" t="s">
        <v>67</v>
      </c>
      <c r="C40" s="33">
        <v>15000</v>
      </c>
      <c r="D40" s="33">
        <v>5000</v>
      </c>
      <c r="E40" s="34">
        <f>1-D40/C40</f>
        <v>0.66666666666666674</v>
      </c>
      <c r="F40" s="35">
        <v>1</v>
      </c>
      <c r="G40" s="26">
        <f>F40*$B$44</f>
        <v>1.3333333333333335</v>
      </c>
    </row>
    <row r="41" spans="1:7" ht="18" customHeight="1" x14ac:dyDescent="0.25">
      <c r="A41" s="22" t="s">
        <v>68</v>
      </c>
      <c r="B41" s="32" t="s">
        <v>69</v>
      </c>
      <c r="C41" s="33">
        <v>8000</v>
      </c>
      <c r="D41" s="33">
        <v>800</v>
      </c>
      <c r="E41" s="34">
        <f>1-D41/C41</f>
        <v>0.9</v>
      </c>
      <c r="F41" s="35">
        <v>1</v>
      </c>
      <c r="G41" s="26">
        <f>F41*$B$44</f>
        <v>1.3333333333333335</v>
      </c>
    </row>
    <row r="42" spans="1:7" ht="18" customHeight="1" x14ac:dyDescent="0.25">
      <c r="A42" s="22" t="s">
        <v>70</v>
      </c>
      <c r="B42" s="32"/>
      <c r="C42" s="33">
        <v>1</v>
      </c>
      <c r="D42" s="33">
        <v>0</v>
      </c>
      <c r="E42" s="34">
        <f>1-D42/C42</f>
        <v>1</v>
      </c>
      <c r="F42" s="32">
        <v>0</v>
      </c>
      <c r="G42" s="26">
        <f>F42*$B$44</f>
        <v>0</v>
      </c>
    </row>
    <row r="43" spans="1:7" ht="18" customHeight="1" x14ac:dyDescent="0.25">
      <c r="A43" s="37" t="s">
        <v>57</v>
      </c>
      <c r="B43" s="38">
        <v>0.4</v>
      </c>
      <c r="C43" s="24"/>
    </row>
    <row r="44" spans="1:7" ht="18" customHeight="1" x14ac:dyDescent="0.25">
      <c r="A44" s="37" t="s">
        <v>58</v>
      </c>
      <c r="B44" s="39">
        <f>$C$18*B43</f>
        <v>1.3333333333333335</v>
      </c>
      <c r="C44" s="24"/>
    </row>
    <row r="45" spans="1:7" ht="18" customHeight="1" x14ac:dyDescent="0.25">
      <c r="A45" s="22"/>
      <c r="B45" s="22"/>
      <c r="C45" s="41"/>
      <c r="F45" s="22"/>
    </row>
    <row r="46" spans="1:7" ht="18" customHeight="1" x14ac:dyDescent="0.25">
      <c r="A46" s="22"/>
      <c r="B46" s="22"/>
      <c r="C46" s="41"/>
      <c r="F46" s="22"/>
    </row>
    <row r="47" spans="1:7" ht="15" customHeight="1" x14ac:dyDescent="0.35">
      <c r="A47" s="30" t="s">
        <v>71</v>
      </c>
      <c r="B47" s="31" t="s">
        <v>45</v>
      </c>
      <c r="C47" s="31" t="s">
        <v>46</v>
      </c>
      <c r="D47" s="31" t="s">
        <v>47</v>
      </c>
      <c r="E47" s="31" t="s">
        <v>48</v>
      </c>
      <c r="F47" s="31" t="s">
        <v>49</v>
      </c>
      <c r="G47" s="31" t="s">
        <v>50</v>
      </c>
    </row>
    <row r="48" spans="1:7" ht="18" customHeight="1" x14ac:dyDescent="0.25">
      <c r="A48" s="22" t="s">
        <v>72</v>
      </c>
      <c r="B48" s="32"/>
      <c r="C48" s="33">
        <v>1</v>
      </c>
      <c r="D48" s="33">
        <v>0</v>
      </c>
      <c r="E48" s="34">
        <f>1-D48/C48</f>
        <v>1</v>
      </c>
      <c r="F48" s="35">
        <v>0</v>
      </c>
      <c r="G48" s="26">
        <f>F48*$B$52</f>
        <v>0</v>
      </c>
    </row>
    <row r="49" spans="1:7" ht="18" customHeight="1" x14ac:dyDescent="0.25">
      <c r="A49" s="22" t="s">
        <v>73</v>
      </c>
      <c r="B49" s="32"/>
      <c r="C49" s="33">
        <v>1</v>
      </c>
      <c r="D49" s="33">
        <v>0</v>
      </c>
      <c r="E49" s="34">
        <f>1-D49/C49</f>
        <v>1</v>
      </c>
      <c r="F49" s="35"/>
      <c r="G49" s="26">
        <f>F49*$B$52</f>
        <v>0</v>
      </c>
    </row>
    <row r="50" spans="1:7" ht="18" customHeight="1" x14ac:dyDescent="0.25">
      <c r="A50" s="22" t="s">
        <v>74</v>
      </c>
      <c r="B50" s="32"/>
      <c r="C50" s="33">
        <v>1</v>
      </c>
      <c r="D50" s="33">
        <v>0</v>
      </c>
      <c r="E50" s="34">
        <f>1-D50/C50</f>
        <v>1</v>
      </c>
      <c r="F50" s="35"/>
      <c r="G50" s="26">
        <f>F50*$B$52</f>
        <v>0</v>
      </c>
    </row>
    <row r="51" spans="1:7" ht="18" customHeight="1" x14ac:dyDescent="0.25">
      <c r="A51" s="37" t="s">
        <v>57</v>
      </c>
      <c r="B51" s="38">
        <v>0</v>
      </c>
      <c r="C51" s="24"/>
    </row>
    <row r="52" spans="1:7" ht="18" customHeight="1" x14ac:dyDescent="0.25">
      <c r="A52" s="37" t="s">
        <v>58</v>
      </c>
      <c r="B52" s="39">
        <f>$C$18*B51</f>
        <v>0</v>
      </c>
      <c r="C52" s="24"/>
    </row>
    <row r="53" spans="1:7" ht="18" customHeight="1" x14ac:dyDescent="0.25">
      <c r="A53" s="22"/>
      <c r="B53" s="22"/>
      <c r="C53" s="22"/>
      <c r="D53" s="22"/>
      <c r="E53" s="22"/>
      <c r="F53" s="22"/>
      <c r="G53" s="22"/>
    </row>
    <row r="54" spans="1:7" ht="15" customHeight="1" x14ac:dyDescent="0.35">
      <c r="A54" s="30"/>
      <c r="B54" s="30"/>
      <c r="C54" s="31"/>
      <c r="F54" s="30"/>
    </row>
    <row r="55" spans="1:7" ht="15" customHeight="1" x14ac:dyDescent="0.35">
      <c r="A55" s="30" t="s">
        <v>75</v>
      </c>
      <c r="B55" s="31" t="s">
        <v>45</v>
      </c>
      <c r="C55" s="31" t="s">
        <v>46</v>
      </c>
      <c r="D55" s="31" t="s">
        <v>47</v>
      </c>
      <c r="E55" s="31" t="s">
        <v>48</v>
      </c>
      <c r="F55" s="31" t="s">
        <v>49</v>
      </c>
      <c r="G55" s="31" t="s">
        <v>50</v>
      </c>
    </row>
    <row r="56" spans="1:7" ht="18" customHeight="1" x14ac:dyDescent="0.25">
      <c r="A56" s="22" t="s">
        <v>76</v>
      </c>
      <c r="B56" s="32"/>
      <c r="C56" s="33">
        <v>1</v>
      </c>
      <c r="D56" s="33">
        <v>0</v>
      </c>
      <c r="E56" s="34">
        <f>1-D56/C56</f>
        <v>1</v>
      </c>
      <c r="F56" s="35">
        <v>0</v>
      </c>
      <c r="G56" s="26">
        <f>F56*$B$60</f>
        <v>0</v>
      </c>
    </row>
    <row r="57" spans="1:7" ht="18" customHeight="1" x14ac:dyDescent="0.25">
      <c r="A57" s="22" t="s">
        <v>77</v>
      </c>
      <c r="B57" s="32"/>
      <c r="C57" s="33">
        <v>1</v>
      </c>
      <c r="D57" s="33">
        <v>0</v>
      </c>
      <c r="E57" s="34">
        <f>1-D57/C57</f>
        <v>1</v>
      </c>
      <c r="F57" s="35"/>
      <c r="G57" s="26">
        <f>F57*$B$60</f>
        <v>0</v>
      </c>
    </row>
    <row r="58" spans="1:7" ht="18" customHeight="1" x14ac:dyDescent="0.25">
      <c r="A58" s="22" t="s">
        <v>78</v>
      </c>
      <c r="B58" s="32"/>
      <c r="C58" s="33">
        <v>1</v>
      </c>
      <c r="D58" s="33">
        <v>0</v>
      </c>
      <c r="E58" s="34">
        <f>1-D58/C58</f>
        <v>1</v>
      </c>
      <c r="F58" s="35"/>
      <c r="G58" s="26">
        <f>F58*$B$60</f>
        <v>0</v>
      </c>
    </row>
    <row r="59" spans="1:7" ht="18" customHeight="1" x14ac:dyDescent="0.25">
      <c r="A59" s="37" t="s">
        <v>57</v>
      </c>
      <c r="B59" s="38">
        <v>0</v>
      </c>
      <c r="C59" s="24"/>
    </row>
    <row r="60" spans="1:7" ht="18" customHeight="1" x14ac:dyDescent="0.25">
      <c r="A60" s="37" t="s">
        <v>58</v>
      </c>
      <c r="B60" s="39">
        <f>$C$18*B59</f>
        <v>0</v>
      </c>
      <c r="C60" s="24"/>
    </row>
    <row r="61" spans="1:7" ht="15" customHeight="1" x14ac:dyDescent="0.25">
      <c r="C61" s="24"/>
    </row>
    <row r="62" spans="1:7" ht="15" customHeight="1" x14ac:dyDescent="0.35">
      <c r="A62" s="30" t="s">
        <v>79</v>
      </c>
      <c r="B62" s="31" t="s">
        <v>45</v>
      </c>
      <c r="C62" s="31" t="s">
        <v>46</v>
      </c>
      <c r="D62" s="31" t="s">
        <v>47</v>
      </c>
      <c r="E62" s="31" t="s">
        <v>48</v>
      </c>
      <c r="F62" s="31" t="s">
        <v>49</v>
      </c>
      <c r="G62" s="31" t="s">
        <v>50</v>
      </c>
    </row>
    <row r="63" spans="1:7" ht="18" customHeight="1" x14ac:dyDescent="0.25">
      <c r="A63" s="22" t="s">
        <v>80</v>
      </c>
      <c r="B63" s="32"/>
      <c r="C63" s="33">
        <v>1</v>
      </c>
      <c r="D63" s="33">
        <v>0</v>
      </c>
      <c r="E63" s="34">
        <f>1-D63/C63</f>
        <v>1</v>
      </c>
      <c r="F63" s="35">
        <v>0</v>
      </c>
      <c r="G63" s="26">
        <f>F63*$B$67</f>
        <v>0</v>
      </c>
    </row>
    <row r="64" spans="1:7" ht="18" customHeight="1" x14ac:dyDescent="0.25">
      <c r="A64" s="22" t="s">
        <v>81</v>
      </c>
      <c r="B64" s="32"/>
      <c r="C64" s="33">
        <v>1</v>
      </c>
      <c r="D64" s="33">
        <v>0</v>
      </c>
      <c r="E64" s="34">
        <f>1-D64/C64</f>
        <v>1</v>
      </c>
      <c r="F64" s="35"/>
      <c r="G64" s="26">
        <f>F64*$B$67</f>
        <v>0</v>
      </c>
    </row>
    <row r="65" spans="1:7" ht="18" customHeight="1" x14ac:dyDescent="0.25">
      <c r="A65" s="22" t="s">
        <v>82</v>
      </c>
      <c r="B65" s="32"/>
      <c r="C65" s="33">
        <v>1</v>
      </c>
      <c r="D65" s="33">
        <v>0</v>
      </c>
      <c r="E65" s="34">
        <f>1-D65/C65</f>
        <v>1</v>
      </c>
      <c r="F65" s="35"/>
      <c r="G65" s="26">
        <f>F65*$B$67</f>
        <v>0</v>
      </c>
    </row>
    <row r="66" spans="1:7" ht="18" customHeight="1" x14ac:dyDescent="0.25">
      <c r="A66" s="37" t="s">
        <v>57</v>
      </c>
      <c r="B66" s="38">
        <v>0</v>
      </c>
      <c r="C66" s="24"/>
    </row>
    <row r="67" spans="1:7" ht="18" customHeight="1" x14ac:dyDescent="0.25">
      <c r="A67" s="37" t="s">
        <v>58</v>
      </c>
      <c r="B67" s="39">
        <f>$C$18*B66</f>
        <v>0</v>
      </c>
      <c r="C67" s="24"/>
    </row>
    <row r="68" spans="1:7" ht="15" customHeight="1" x14ac:dyDescent="0.35">
      <c r="A68" s="27" t="s">
        <v>59</v>
      </c>
      <c r="B68" s="28">
        <v>0</v>
      </c>
      <c r="C68" s="24"/>
    </row>
  </sheetData>
  <mergeCells count="3">
    <mergeCell ref="B4:D4"/>
    <mergeCell ref="B5:D5"/>
    <mergeCell ref="B6:D6"/>
  </mergeCells>
  <pageMargins left="0" right="0" top="0" bottom="0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"/>
  <sheetViews>
    <sheetView showGridLines="0" zoomScaleNormal="100" workbookViewId="0">
      <selection activeCell="G19" sqref="G19"/>
    </sheetView>
  </sheetViews>
  <sheetFormatPr defaultColWidth="14.42578125" defaultRowHeight="15" customHeight="1" x14ac:dyDescent="0.25"/>
  <cols>
    <col min="1" max="1" width="4.42578125" customWidth="1"/>
    <col min="2" max="3" width="53.140625" customWidth="1"/>
    <col min="4" max="4" width="16.85546875" customWidth="1"/>
    <col min="5" max="6" width="9.7109375" customWidth="1"/>
    <col min="7" max="7" width="16.42578125" customWidth="1"/>
    <col min="8" max="8" width="18.140625" customWidth="1"/>
    <col min="9" max="9" width="12.42578125" customWidth="1"/>
  </cols>
  <sheetData>
    <row r="1" spans="1:9" ht="18" customHeight="1" x14ac:dyDescent="0.35">
      <c r="A1" s="18" t="s">
        <v>83</v>
      </c>
      <c r="B1" s="18"/>
      <c r="C1" s="18"/>
      <c r="D1" s="18"/>
      <c r="E1" s="18"/>
      <c r="F1" s="18"/>
      <c r="G1" s="42"/>
      <c r="H1" s="18"/>
      <c r="I1" s="18"/>
    </row>
    <row r="2" spans="1:9" ht="4.5" customHeight="1" x14ac:dyDescent="0.35">
      <c r="A2" s="20"/>
      <c r="B2" s="20"/>
      <c r="C2" s="20"/>
      <c r="D2" s="20"/>
      <c r="E2" s="20"/>
      <c r="F2" s="20"/>
      <c r="G2" s="43"/>
      <c r="H2" s="44"/>
      <c r="I2" s="44"/>
    </row>
    <row r="3" spans="1:9" ht="18" customHeight="1" x14ac:dyDescent="0.35">
      <c r="A3" s="20"/>
      <c r="B3" s="20"/>
      <c r="C3" s="20"/>
      <c r="D3" s="20"/>
      <c r="E3" s="20"/>
      <c r="F3" s="20"/>
      <c r="G3" s="43"/>
      <c r="H3" s="44"/>
      <c r="I3" s="44"/>
    </row>
    <row r="4" spans="1:9" ht="18" customHeight="1" x14ac:dyDescent="0.35">
      <c r="A4" s="45" t="s">
        <v>84</v>
      </c>
      <c r="B4" s="46" t="s">
        <v>85</v>
      </c>
      <c r="C4" s="46" t="s">
        <v>86</v>
      </c>
      <c r="D4" s="46" t="s">
        <v>87</v>
      </c>
      <c r="E4" s="47" t="s">
        <v>88</v>
      </c>
      <c r="F4" s="47" t="s">
        <v>89</v>
      </c>
      <c r="G4" s="48" t="s">
        <v>90</v>
      </c>
      <c r="H4" s="47" t="s">
        <v>91</v>
      </c>
      <c r="I4" s="47" t="s">
        <v>92</v>
      </c>
    </row>
    <row r="5" spans="1:9" ht="4.5" customHeight="1" x14ac:dyDescent="0.35">
      <c r="A5" s="20"/>
      <c r="B5" s="20"/>
      <c r="C5" s="20"/>
      <c r="D5" s="20"/>
      <c r="E5" s="20"/>
      <c r="F5" s="20"/>
      <c r="G5" s="43"/>
      <c r="H5" s="44"/>
      <c r="I5" s="44"/>
    </row>
    <row r="6" spans="1:9" ht="18" customHeight="1" x14ac:dyDescent="0.35">
      <c r="A6" s="20">
        <v>1</v>
      </c>
      <c r="B6" s="49" t="s">
        <v>93</v>
      </c>
      <c r="C6" s="49" t="s">
        <v>94</v>
      </c>
      <c r="D6" s="49" t="s">
        <v>95</v>
      </c>
      <c r="E6" s="50">
        <v>46266</v>
      </c>
      <c r="F6" s="50">
        <v>73050</v>
      </c>
      <c r="G6" s="51">
        <v>180000</v>
      </c>
      <c r="H6" s="52">
        <v>0.05</v>
      </c>
      <c r="I6" s="52">
        <v>0.15</v>
      </c>
    </row>
    <row r="7" spans="1:9" ht="18" customHeight="1" x14ac:dyDescent="0.35">
      <c r="A7" s="20">
        <f t="shared" ref="A7:A29" si="0">+A6+1</f>
        <v>2</v>
      </c>
      <c r="B7" s="49" t="s">
        <v>96</v>
      </c>
      <c r="C7" s="49" t="s">
        <v>97</v>
      </c>
      <c r="D7" s="49" t="s">
        <v>98</v>
      </c>
      <c r="E7" s="50">
        <v>46266</v>
      </c>
      <c r="F7" s="50">
        <v>73050</v>
      </c>
      <c r="G7" s="51">
        <v>180000</v>
      </c>
      <c r="H7" s="52">
        <v>0.05</v>
      </c>
      <c r="I7" s="52">
        <v>0.15</v>
      </c>
    </row>
    <row r="8" spans="1:9" ht="18" customHeight="1" x14ac:dyDescent="0.35">
      <c r="A8" s="20">
        <f t="shared" si="0"/>
        <v>3</v>
      </c>
      <c r="B8" s="49" t="s">
        <v>99</v>
      </c>
      <c r="C8" s="49" t="s">
        <v>100</v>
      </c>
      <c r="D8" s="49" t="s">
        <v>98</v>
      </c>
      <c r="E8" s="50">
        <v>46296</v>
      </c>
      <c r="F8" s="50">
        <v>73050</v>
      </c>
      <c r="G8" s="51">
        <v>150000</v>
      </c>
      <c r="H8" s="52">
        <v>0.05</v>
      </c>
      <c r="I8" s="52">
        <v>0.15</v>
      </c>
    </row>
    <row r="9" spans="1:9" ht="18" customHeight="1" x14ac:dyDescent="0.35">
      <c r="A9" s="20">
        <f t="shared" si="0"/>
        <v>4</v>
      </c>
      <c r="B9" s="49" t="s">
        <v>101</v>
      </c>
      <c r="C9" s="49" t="s">
        <v>102</v>
      </c>
      <c r="D9" s="49" t="s">
        <v>98</v>
      </c>
      <c r="E9" s="50">
        <v>46388</v>
      </c>
      <c r="F9" s="50">
        <v>73050</v>
      </c>
      <c r="G9" s="51">
        <v>120000</v>
      </c>
      <c r="H9" s="52">
        <v>0.05</v>
      </c>
      <c r="I9" s="52">
        <v>0.15</v>
      </c>
    </row>
    <row r="10" spans="1:9" ht="18" customHeight="1" x14ac:dyDescent="0.35">
      <c r="A10" s="20">
        <f t="shared" si="0"/>
        <v>5</v>
      </c>
      <c r="B10" s="49" t="s">
        <v>103</v>
      </c>
      <c r="C10" s="49" t="s">
        <v>104</v>
      </c>
      <c r="D10" s="49" t="s">
        <v>105</v>
      </c>
      <c r="E10" s="50">
        <v>46327</v>
      </c>
      <c r="F10" s="50">
        <v>73050</v>
      </c>
      <c r="G10" s="51">
        <v>130000</v>
      </c>
      <c r="H10" s="52">
        <v>0.05</v>
      </c>
      <c r="I10" s="52">
        <v>0.15</v>
      </c>
    </row>
    <row r="11" spans="1:9" ht="18" customHeight="1" x14ac:dyDescent="0.35">
      <c r="A11" s="20">
        <f t="shared" si="0"/>
        <v>6</v>
      </c>
      <c r="B11" s="49" t="s">
        <v>106</v>
      </c>
      <c r="C11" s="49" t="s">
        <v>107</v>
      </c>
      <c r="D11" s="49" t="s">
        <v>105</v>
      </c>
      <c r="E11" s="50">
        <v>46419</v>
      </c>
      <c r="F11" s="50">
        <v>73050</v>
      </c>
      <c r="G11" s="51">
        <v>90000</v>
      </c>
      <c r="H11" s="52">
        <v>0.05</v>
      </c>
      <c r="I11" s="52">
        <v>0.15</v>
      </c>
    </row>
    <row r="12" spans="1:9" ht="18" customHeight="1" x14ac:dyDescent="0.35">
      <c r="A12" s="20">
        <f t="shared" si="0"/>
        <v>7</v>
      </c>
      <c r="B12" s="49" t="s">
        <v>108</v>
      </c>
      <c r="C12" s="49" t="s">
        <v>109</v>
      </c>
      <c r="D12" s="49" t="s">
        <v>95</v>
      </c>
      <c r="E12" s="50">
        <v>46266</v>
      </c>
      <c r="F12" s="50">
        <v>73050</v>
      </c>
      <c r="G12" s="51">
        <v>60000</v>
      </c>
      <c r="H12" s="52">
        <v>0.05</v>
      </c>
      <c r="I12" s="52">
        <v>0.15</v>
      </c>
    </row>
    <row r="13" spans="1:9" ht="18" customHeight="1" x14ac:dyDescent="0.35">
      <c r="A13" s="20">
        <f t="shared" si="0"/>
        <v>8</v>
      </c>
      <c r="B13" s="49"/>
      <c r="C13" s="49"/>
      <c r="D13" s="49"/>
      <c r="E13" s="50"/>
      <c r="F13" s="50"/>
      <c r="G13" s="51"/>
      <c r="H13" s="52"/>
      <c r="I13" s="52"/>
    </row>
    <row r="14" spans="1:9" ht="18" customHeight="1" x14ac:dyDescent="0.35">
      <c r="A14" s="20">
        <f t="shared" si="0"/>
        <v>9</v>
      </c>
      <c r="B14" s="49"/>
      <c r="C14" s="49"/>
      <c r="D14" s="49"/>
      <c r="E14" s="50"/>
      <c r="F14" s="50"/>
      <c r="G14" s="51"/>
      <c r="H14" s="52"/>
      <c r="I14" s="52"/>
    </row>
    <row r="15" spans="1:9" ht="18" customHeight="1" x14ac:dyDescent="0.35">
      <c r="A15" s="20">
        <f t="shared" si="0"/>
        <v>10</v>
      </c>
      <c r="B15" s="49"/>
      <c r="C15" s="49"/>
      <c r="D15" s="49"/>
      <c r="E15" s="50"/>
      <c r="F15" s="50"/>
      <c r="G15" s="51"/>
      <c r="H15" s="52"/>
      <c r="I15" s="52"/>
    </row>
    <row r="16" spans="1:9" ht="18" customHeight="1" x14ac:dyDescent="0.35">
      <c r="A16" s="20">
        <f t="shared" si="0"/>
        <v>11</v>
      </c>
      <c r="B16" s="49"/>
      <c r="C16" s="49"/>
      <c r="D16" s="49"/>
      <c r="E16" s="50"/>
      <c r="F16" s="50"/>
      <c r="G16" s="51"/>
      <c r="H16" s="52"/>
      <c r="I16" s="52"/>
    </row>
    <row r="17" spans="1:9" ht="18" customHeight="1" x14ac:dyDescent="0.35">
      <c r="A17" s="20">
        <f t="shared" si="0"/>
        <v>12</v>
      </c>
      <c r="B17" s="49"/>
      <c r="C17" s="49"/>
      <c r="D17" s="49"/>
      <c r="E17" s="50"/>
      <c r="F17" s="50"/>
      <c r="G17" s="51"/>
      <c r="H17" s="52"/>
      <c r="I17" s="52"/>
    </row>
    <row r="18" spans="1:9" ht="18" customHeight="1" x14ac:dyDescent="0.35">
      <c r="A18" s="20">
        <f t="shared" si="0"/>
        <v>13</v>
      </c>
      <c r="B18" s="49"/>
      <c r="C18" s="49"/>
      <c r="D18" s="49"/>
      <c r="E18" s="50"/>
      <c r="F18" s="50"/>
      <c r="G18" s="51"/>
      <c r="H18" s="52"/>
      <c r="I18" s="52"/>
    </row>
    <row r="19" spans="1:9" ht="18" customHeight="1" x14ac:dyDescent="0.35">
      <c r="A19" s="20">
        <f t="shared" si="0"/>
        <v>14</v>
      </c>
      <c r="B19" s="49"/>
      <c r="C19" s="49"/>
      <c r="D19" s="49"/>
      <c r="E19" s="50"/>
      <c r="F19" s="50"/>
      <c r="G19" s="51"/>
      <c r="H19" s="52"/>
      <c r="I19" s="52"/>
    </row>
    <row r="20" spans="1:9" ht="15.75" customHeight="1" x14ac:dyDescent="0.35">
      <c r="A20" s="20">
        <f t="shared" si="0"/>
        <v>15</v>
      </c>
      <c r="B20" s="49"/>
      <c r="C20" s="49"/>
      <c r="D20" s="49"/>
      <c r="E20" s="50"/>
      <c r="F20" s="50"/>
      <c r="G20" s="51"/>
      <c r="H20" s="52"/>
      <c r="I20" s="52"/>
    </row>
    <row r="21" spans="1:9" ht="15.75" customHeight="1" x14ac:dyDescent="0.35">
      <c r="A21" s="20">
        <f t="shared" si="0"/>
        <v>16</v>
      </c>
      <c r="B21" s="49"/>
      <c r="C21" s="49"/>
      <c r="D21" s="49"/>
      <c r="E21" s="50"/>
      <c r="F21" s="50"/>
      <c r="G21" s="51"/>
      <c r="H21" s="52"/>
      <c r="I21" s="52"/>
    </row>
    <row r="22" spans="1:9" ht="15.75" customHeight="1" x14ac:dyDescent="0.35">
      <c r="A22" s="20">
        <f t="shared" si="0"/>
        <v>17</v>
      </c>
      <c r="B22" s="49"/>
      <c r="C22" s="49"/>
      <c r="D22" s="49"/>
      <c r="E22" s="50"/>
      <c r="F22" s="50"/>
      <c r="G22" s="51"/>
      <c r="H22" s="52"/>
      <c r="I22" s="52"/>
    </row>
    <row r="23" spans="1:9" ht="15.75" customHeight="1" x14ac:dyDescent="0.35">
      <c r="A23" s="20">
        <f t="shared" si="0"/>
        <v>18</v>
      </c>
      <c r="B23" s="49"/>
      <c r="C23" s="49"/>
      <c r="D23" s="49"/>
      <c r="E23" s="50"/>
      <c r="F23" s="50"/>
      <c r="G23" s="51"/>
      <c r="H23" s="52"/>
      <c r="I23" s="52"/>
    </row>
    <row r="24" spans="1:9" ht="15.75" customHeight="1" x14ac:dyDescent="0.35">
      <c r="A24" s="20">
        <f t="shared" si="0"/>
        <v>19</v>
      </c>
      <c r="B24" s="49"/>
      <c r="C24" s="49"/>
      <c r="D24" s="49"/>
      <c r="E24" s="50"/>
      <c r="F24" s="50"/>
      <c r="G24" s="51"/>
      <c r="H24" s="52"/>
      <c r="I24" s="52"/>
    </row>
    <row r="25" spans="1:9" ht="15.75" customHeight="1" x14ac:dyDescent="0.35">
      <c r="A25" s="20">
        <f t="shared" si="0"/>
        <v>20</v>
      </c>
      <c r="B25" s="49"/>
      <c r="C25" s="49"/>
      <c r="D25" s="49"/>
      <c r="E25" s="50"/>
      <c r="F25" s="50"/>
      <c r="G25" s="51"/>
      <c r="H25" s="52"/>
      <c r="I25" s="52"/>
    </row>
    <row r="26" spans="1:9" ht="15.75" customHeight="1" x14ac:dyDescent="0.35">
      <c r="A26" s="20">
        <f t="shared" si="0"/>
        <v>21</v>
      </c>
      <c r="B26" s="49"/>
      <c r="C26" s="49"/>
      <c r="D26" s="49"/>
      <c r="E26" s="50"/>
      <c r="F26" s="50"/>
      <c r="G26" s="51"/>
      <c r="H26" s="52"/>
      <c r="I26" s="52"/>
    </row>
    <row r="27" spans="1:9" ht="15.75" customHeight="1" x14ac:dyDescent="0.35">
      <c r="A27" s="20">
        <f t="shared" si="0"/>
        <v>22</v>
      </c>
      <c r="B27" s="49"/>
      <c r="C27" s="49"/>
      <c r="D27" s="49"/>
      <c r="E27" s="50"/>
      <c r="F27" s="50"/>
      <c r="G27" s="51"/>
      <c r="H27" s="52"/>
      <c r="I27" s="52"/>
    </row>
    <row r="28" spans="1:9" ht="15.75" customHeight="1" x14ac:dyDescent="0.35">
      <c r="A28" s="20">
        <f t="shared" si="0"/>
        <v>23</v>
      </c>
      <c r="B28" s="49"/>
      <c r="C28" s="49"/>
      <c r="D28" s="49"/>
      <c r="E28" s="50"/>
      <c r="F28" s="50"/>
      <c r="G28" s="51"/>
      <c r="H28" s="52"/>
      <c r="I28" s="52"/>
    </row>
    <row r="29" spans="1:9" ht="15.75" customHeight="1" x14ac:dyDescent="0.35">
      <c r="A29" s="20">
        <f t="shared" si="0"/>
        <v>24</v>
      </c>
      <c r="B29" s="49"/>
      <c r="C29" s="49"/>
      <c r="D29" s="49"/>
      <c r="E29" s="50"/>
      <c r="F29" s="50"/>
      <c r="G29" s="51"/>
      <c r="H29" s="52"/>
      <c r="I29" s="52"/>
    </row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6"/>
  <sheetViews>
    <sheetView zoomScaleNormal="100" workbookViewId="0">
      <selection activeCell="A28" sqref="A28"/>
    </sheetView>
  </sheetViews>
  <sheetFormatPr defaultColWidth="14.42578125" defaultRowHeight="15" customHeight="1" x14ac:dyDescent="0.25"/>
  <cols>
    <col min="1" max="1" width="100.28515625" customWidth="1"/>
  </cols>
  <sheetData>
    <row r="1" spans="1:3" ht="15" customHeight="1" x14ac:dyDescent="0.35">
      <c r="A1" s="18" t="s">
        <v>110</v>
      </c>
      <c r="B1" s="18"/>
    </row>
    <row r="3" spans="1:3" ht="15" customHeight="1" x14ac:dyDescent="0.35">
      <c r="A3" s="30" t="s">
        <v>111</v>
      </c>
      <c r="B3" s="31" t="s">
        <v>112</v>
      </c>
      <c r="C3" s="31" t="s">
        <v>113</v>
      </c>
    </row>
    <row r="4" spans="1:3" ht="15" customHeight="1" x14ac:dyDescent="0.35">
      <c r="A4" s="20" t="s">
        <v>114</v>
      </c>
      <c r="B4" s="36">
        <v>8000</v>
      </c>
      <c r="C4" s="53">
        <f>B4*12</f>
        <v>96000</v>
      </c>
    </row>
    <row r="5" spans="1:3" ht="15" customHeight="1" x14ac:dyDescent="0.35">
      <c r="A5" s="20" t="s">
        <v>115</v>
      </c>
      <c r="B5" s="36">
        <v>18333</v>
      </c>
      <c r="C5" s="53">
        <f>B5*12</f>
        <v>219996</v>
      </c>
    </row>
    <row r="6" spans="1:3" ht="15" customHeight="1" x14ac:dyDescent="0.35">
      <c r="A6" s="30"/>
      <c r="B6" s="20"/>
    </row>
    <row r="7" spans="1:3" ht="15" customHeight="1" x14ac:dyDescent="0.35">
      <c r="A7" s="30" t="s">
        <v>116</v>
      </c>
      <c r="B7" s="31" t="s">
        <v>112</v>
      </c>
      <c r="C7" s="31" t="s">
        <v>113</v>
      </c>
    </row>
    <row r="8" spans="1:3" ht="15" customHeight="1" x14ac:dyDescent="0.35">
      <c r="A8" s="20" t="s">
        <v>117</v>
      </c>
      <c r="B8" s="36">
        <v>12000</v>
      </c>
      <c r="C8" s="53">
        <f>B8*12</f>
        <v>144000</v>
      </c>
    </row>
    <row r="9" spans="1:3" ht="15" customHeight="1" x14ac:dyDescent="0.35">
      <c r="A9" s="20" t="s">
        <v>118</v>
      </c>
      <c r="B9" s="36">
        <v>37500</v>
      </c>
      <c r="C9" s="53">
        <f>B9*12</f>
        <v>450000</v>
      </c>
    </row>
    <row r="10" spans="1:3" ht="15" customHeight="1" x14ac:dyDescent="0.35">
      <c r="A10" s="20"/>
      <c r="B10" s="20"/>
      <c r="C10" s="20"/>
    </row>
    <row r="11" spans="1:3" ht="15" customHeight="1" x14ac:dyDescent="0.35">
      <c r="A11" s="30" t="s">
        <v>119</v>
      </c>
      <c r="B11" s="31" t="s">
        <v>112</v>
      </c>
      <c r="C11" s="31" t="s">
        <v>113</v>
      </c>
    </row>
    <row r="12" spans="1:3" ht="15" customHeight="1" x14ac:dyDescent="0.35">
      <c r="A12" s="20" t="s">
        <v>120</v>
      </c>
      <c r="B12" s="36">
        <v>3000</v>
      </c>
      <c r="C12" s="53">
        <f>B12*12</f>
        <v>36000</v>
      </c>
    </row>
    <row r="13" spans="1:3" ht="15" customHeight="1" x14ac:dyDescent="0.35">
      <c r="A13" s="20" t="s">
        <v>121</v>
      </c>
      <c r="B13" s="36">
        <v>2000</v>
      </c>
      <c r="C13" s="53">
        <f>B13*12</f>
        <v>24000</v>
      </c>
    </row>
    <row r="14" spans="1:3" ht="15" customHeight="1" x14ac:dyDescent="0.35">
      <c r="A14" s="20" t="s">
        <v>122</v>
      </c>
      <c r="B14" s="36">
        <v>4000</v>
      </c>
      <c r="C14" s="53">
        <f>B14*12</f>
        <v>48000</v>
      </c>
    </row>
    <row r="15" spans="1:3" ht="15" customHeight="1" x14ac:dyDescent="0.35">
      <c r="A15" s="20" t="s">
        <v>123</v>
      </c>
      <c r="B15" s="36">
        <v>20000</v>
      </c>
      <c r="C15" s="53">
        <f>B15*12</f>
        <v>240000</v>
      </c>
    </row>
    <row r="17" spans="1:3" ht="15" customHeight="1" x14ac:dyDescent="0.35">
      <c r="A17" s="30" t="s">
        <v>124</v>
      </c>
      <c r="B17" s="31"/>
      <c r="C17" s="31" t="s">
        <v>113</v>
      </c>
    </row>
    <row r="18" spans="1:3" ht="15" customHeight="1" x14ac:dyDescent="0.35">
      <c r="A18" s="20" t="s">
        <v>125</v>
      </c>
      <c r="B18" s="36">
        <v>1000</v>
      </c>
      <c r="C18" s="53">
        <f>B18*12</f>
        <v>12000</v>
      </c>
    </row>
    <row r="19" spans="1:3" ht="15" customHeight="1" x14ac:dyDescent="0.35">
      <c r="A19" s="20" t="s">
        <v>126</v>
      </c>
      <c r="B19" s="36">
        <v>15000</v>
      </c>
      <c r="C19" s="53">
        <f>B19*12</f>
        <v>180000</v>
      </c>
    </row>
    <row r="20" spans="1:3" ht="15" customHeight="1" x14ac:dyDescent="0.35">
      <c r="A20" s="20" t="s">
        <v>127</v>
      </c>
      <c r="B20" s="36">
        <v>0</v>
      </c>
      <c r="C20" s="53">
        <f>B20*12</f>
        <v>0</v>
      </c>
    </row>
    <row r="22" spans="1:3" ht="15" customHeight="1" x14ac:dyDescent="0.35">
      <c r="A22" s="18" t="s">
        <v>128</v>
      </c>
      <c r="B22" s="18"/>
      <c r="C22" s="54"/>
    </row>
    <row r="23" spans="1:3" ht="18" customHeight="1" x14ac:dyDescent="0.35">
      <c r="A23" s="20" t="s">
        <v>129</v>
      </c>
      <c r="B23" s="55">
        <v>0.1</v>
      </c>
      <c r="C23" s="54"/>
    </row>
    <row r="24" spans="1:3" ht="18" customHeight="1" x14ac:dyDescent="0.35">
      <c r="A24" s="20" t="s">
        <v>130</v>
      </c>
      <c r="B24" s="55">
        <v>0.15</v>
      </c>
      <c r="C24" s="54"/>
    </row>
    <row r="25" spans="1:3" ht="18" customHeight="1" x14ac:dyDescent="0.35">
      <c r="A25" s="20" t="s">
        <v>131</v>
      </c>
      <c r="B25" s="55">
        <v>0.2</v>
      </c>
      <c r="C25" s="54"/>
    </row>
    <row r="26" spans="1:3" ht="18" customHeight="1" x14ac:dyDescent="0.35">
      <c r="A26" s="20" t="s">
        <v>132</v>
      </c>
      <c r="B26" s="55">
        <v>0.25</v>
      </c>
      <c r="C26" s="54"/>
    </row>
  </sheetData>
  <pageMargins left="0" right="0" top="0" bottom="0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5"/>
  <sheetViews>
    <sheetView zoomScaleNormal="100" workbookViewId="0">
      <selection activeCell="C41" sqref="C41"/>
    </sheetView>
  </sheetViews>
  <sheetFormatPr defaultColWidth="14.42578125" defaultRowHeight="15" customHeight="1" x14ac:dyDescent="0.25"/>
  <cols>
    <col min="1" max="1" width="100.28515625" customWidth="1"/>
  </cols>
  <sheetData>
    <row r="1" spans="1:2" ht="15" customHeight="1" x14ac:dyDescent="0.35">
      <c r="A1" s="18" t="s">
        <v>133</v>
      </c>
      <c r="B1" s="18">
        <f>B3+B7+B13</f>
        <v>170000</v>
      </c>
    </row>
    <row r="3" spans="1:2" ht="15" customHeight="1" x14ac:dyDescent="0.35">
      <c r="A3" s="30" t="s">
        <v>111</v>
      </c>
      <c r="B3" s="31">
        <f>SUM(B4:B5)</f>
        <v>25000</v>
      </c>
    </row>
    <row r="4" spans="1:2" ht="15" customHeight="1" x14ac:dyDescent="0.35">
      <c r="A4" s="20" t="s">
        <v>134</v>
      </c>
      <c r="B4" s="36">
        <v>15000</v>
      </c>
    </row>
    <row r="5" spans="1:2" ht="15" customHeight="1" x14ac:dyDescent="0.35">
      <c r="A5" s="20" t="s">
        <v>135</v>
      </c>
      <c r="B5" s="36">
        <v>10000</v>
      </c>
    </row>
    <row r="6" spans="1:2" ht="15" customHeight="1" x14ac:dyDescent="0.35">
      <c r="A6" s="30"/>
      <c r="B6" s="20"/>
    </row>
    <row r="7" spans="1:2" ht="15" customHeight="1" x14ac:dyDescent="0.35">
      <c r="A7" s="30" t="s">
        <v>116</v>
      </c>
      <c r="B7" s="31">
        <f>SUM(B8:B11)</f>
        <v>130000</v>
      </c>
    </row>
    <row r="8" spans="1:2" ht="15" customHeight="1" x14ac:dyDescent="0.35">
      <c r="A8" s="20" t="s">
        <v>136</v>
      </c>
      <c r="B8" s="36">
        <v>20000</v>
      </c>
    </row>
    <row r="9" spans="1:2" ht="15" customHeight="1" x14ac:dyDescent="0.35">
      <c r="A9" s="20" t="s">
        <v>137</v>
      </c>
      <c r="B9" s="36">
        <v>80000</v>
      </c>
    </row>
    <row r="10" spans="1:2" ht="15" customHeight="1" x14ac:dyDescent="0.35">
      <c r="A10" s="20" t="s">
        <v>138</v>
      </c>
      <c r="B10" s="36">
        <v>30000</v>
      </c>
    </row>
    <row r="11" spans="1:2" ht="15" customHeight="1" x14ac:dyDescent="0.35">
      <c r="A11" s="20" t="s">
        <v>139</v>
      </c>
      <c r="B11" s="36">
        <v>0</v>
      </c>
    </row>
    <row r="12" spans="1:2" ht="15" customHeight="1" x14ac:dyDescent="0.35">
      <c r="A12" s="20"/>
      <c r="B12" s="20"/>
    </row>
    <row r="13" spans="1:2" ht="15" customHeight="1" x14ac:dyDescent="0.35">
      <c r="A13" s="30" t="s">
        <v>119</v>
      </c>
      <c r="B13" s="31">
        <f>SUM(B14:B15)</f>
        <v>15000</v>
      </c>
    </row>
    <row r="14" spans="1:2" ht="15" customHeight="1" x14ac:dyDescent="0.35">
      <c r="A14" s="20" t="s">
        <v>140</v>
      </c>
      <c r="B14" s="36">
        <v>5000</v>
      </c>
    </row>
    <row r="15" spans="1:2" ht="15" customHeight="1" x14ac:dyDescent="0.35">
      <c r="A15" s="20" t="s">
        <v>141</v>
      </c>
      <c r="B15" s="36">
        <v>10000</v>
      </c>
    </row>
  </sheetData>
  <pageMargins left="0" right="0" top="0" bottom="0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T130"/>
  <sheetViews>
    <sheetView showGridLines="0" zoomScaleNormal="100" workbookViewId="0">
      <pane xSplit="4" ySplit="3" topLeftCell="BL109" activePane="bottomRight" state="frozen"/>
      <selection pane="topRight" activeCell="E1" sqref="E1"/>
      <selection pane="bottomLeft" activeCell="A109" sqref="A109"/>
      <selection pane="bottomRight" activeCell="BN61" sqref="BN61"/>
    </sheetView>
  </sheetViews>
  <sheetFormatPr defaultColWidth="14.42578125" defaultRowHeight="15" customHeight="1" outlineLevelRow="1" outlineLevelCol="1" x14ac:dyDescent="0.25"/>
  <cols>
    <col min="1" max="1" width="42.7109375" customWidth="1"/>
    <col min="2" max="2" width="31.42578125" customWidth="1"/>
    <col min="3" max="3" width="46.85546875" customWidth="1"/>
    <col min="4" max="4" width="10" hidden="1" customWidth="1"/>
    <col min="5" max="5" width="1.7109375" customWidth="1"/>
    <col min="6" max="6" width="10.7109375" customWidth="1"/>
    <col min="7" max="7" width="12.28515625" customWidth="1" outlineLevel="1"/>
    <col min="8" max="8" width="12.42578125" customWidth="1" outlineLevel="1"/>
    <col min="9" max="10" width="12.28515625" customWidth="1" outlineLevel="1"/>
    <col min="11" max="12" width="12.85546875" customWidth="1" outlineLevel="1"/>
    <col min="13" max="13" width="13.42578125" customWidth="1" outlineLevel="1"/>
    <col min="14" max="14" width="12.85546875" customWidth="1" outlineLevel="1"/>
    <col min="15" max="15" width="13.7109375" customWidth="1" outlineLevel="1"/>
    <col min="16" max="16" width="13.5703125" customWidth="1" outlineLevel="1"/>
    <col min="17" max="17" width="12.42578125" customWidth="1" outlineLevel="1"/>
    <col min="18" max="18" width="12.85546875" customWidth="1" outlineLevel="1"/>
    <col min="19" max="19" width="13.85546875" customWidth="1"/>
    <col min="20" max="20" width="13.7109375" customWidth="1"/>
    <col min="21" max="21" width="13.5703125" customWidth="1"/>
    <col min="22" max="23" width="13.140625" customWidth="1"/>
    <col min="24" max="24" width="13.5703125" customWidth="1"/>
    <col min="25" max="25" width="12.85546875" customWidth="1"/>
    <col min="26" max="26" width="13.7109375" customWidth="1"/>
    <col min="27" max="27" width="15" customWidth="1"/>
    <col min="28" max="28" width="14.28515625" customWidth="1"/>
    <col min="29" max="30" width="14.85546875" customWidth="1"/>
    <col min="31" max="31" width="15.140625" customWidth="1"/>
    <col min="32" max="32" width="14.85546875" customWidth="1"/>
    <col min="33" max="33" width="15" customWidth="1"/>
    <col min="35" max="35" width="14.5703125" customWidth="1"/>
    <col min="36" max="36" width="15" customWidth="1"/>
    <col min="37" max="37" width="14.7109375" customWidth="1"/>
    <col min="38" max="38" width="15.5703125" customWidth="1"/>
    <col min="40" max="40" width="14.7109375" customWidth="1"/>
    <col min="41" max="41" width="15.42578125" customWidth="1"/>
    <col min="42" max="42" width="14.85546875" customWidth="1"/>
    <col min="43" max="43" width="15" customWidth="1"/>
    <col min="44" max="44" width="15.140625" customWidth="1"/>
    <col min="45" max="47" width="15" customWidth="1"/>
    <col min="48" max="48" width="15.28515625" customWidth="1"/>
    <col min="49" max="49" width="15.42578125" customWidth="1"/>
    <col min="50" max="52" width="15.5703125" customWidth="1"/>
    <col min="53" max="53" width="15" customWidth="1"/>
    <col min="54" max="54" width="15.85546875" customWidth="1"/>
    <col min="55" max="55" width="14.85546875" customWidth="1"/>
    <col min="56" max="56" width="15.28515625" customWidth="1"/>
    <col min="57" max="57" width="15.42578125" customWidth="1"/>
    <col min="58" max="58" width="15.140625" customWidth="1"/>
    <col min="59" max="59" width="15.5703125" customWidth="1"/>
    <col min="60" max="61" width="14.85546875" customWidth="1"/>
    <col min="62" max="62" width="15.140625" customWidth="1"/>
    <col min="63" max="63" width="15" customWidth="1"/>
    <col min="64" max="64" width="15.140625" customWidth="1"/>
    <col min="65" max="65" width="15" customWidth="1"/>
    <col min="66" max="66" width="15.5703125" customWidth="1"/>
    <col min="67" max="67" width="9.140625" customWidth="1"/>
    <col min="68" max="68" width="14.85546875" customWidth="1"/>
    <col min="69" max="69" width="15" bestFit="1" customWidth="1"/>
    <col min="70" max="71" width="15.42578125" customWidth="1"/>
    <col min="72" max="72" width="15.85546875" customWidth="1"/>
  </cols>
  <sheetData>
    <row r="1" spans="1:72" ht="18" customHeight="1" x14ac:dyDescent="0.35">
      <c r="A1" s="56" t="s">
        <v>142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L1" s="56"/>
      <c r="BM1" s="56"/>
      <c r="BN1" s="56"/>
      <c r="BO1" s="56"/>
      <c r="BP1" s="56"/>
      <c r="BQ1" s="56"/>
      <c r="BR1" s="56"/>
      <c r="BS1" s="56"/>
      <c r="BT1" s="56"/>
    </row>
    <row r="2" spans="1:72" ht="18" customHeight="1" x14ac:dyDescent="0.3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</row>
    <row r="3" spans="1:72" ht="18" customHeight="1" x14ac:dyDescent="0.35">
      <c r="A3" s="20"/>
      <c r="B3" s="20"/>
      <c r="C3" s="57"/>
      <c r="D3" s="27" t="s">
        <v>143</v>
      </c>
      <c r="E3" s="20"/>
      <c r="F3" s="58"/>
      <c r="G3" s="58">
        <f t="shared" ref="G3:AL3" si="0">+F3+1</f>
        <v>1</v>
      </c>
      <c r="H3" s="58">
        <f t="shared" si="0"/>
        <v>2</v>
      </c>
      <c r="I3" s="58">
        <f t="shared" si="0"/>
        <v>3</v>
      </c>
      <c r="J3" s="58">
        <f t="shared" si="0"/>
        <v>4</v>
      </c>
      <c r="K3" s="58">
        <f t="shared" si="0"/>
        <v>5</v>
      </c>
      <c r="L3" s="58">
        <f t="shared" si="0"/>
        <v>6</v>
      </c>
      <c r="M3" s="58">
        <f t="shared" si="0"/>
        <v>7</v>
      </c>
      <c r="N3" s="58">
        <f t="shared" si="0"/>
        <v>8</v>
      </c>
      <c r="O3" s="58">
        <f t="shared" si="0"/>
        <v>9</v>
      </c>
      <c r="P3" s="58">
        <f t="shared" si="0"/>
        <v>10</v>
      </c>
      <c r="Q3" s="58">
        <f t="shared" si="0"/>
        <v>11</v>
      </c>
      <c r="R3" s="58">
        <f t="shared" si="0"/>
        <v>12</v>
      </c>
      <c r="S3" s="58">
        <f t="shared" si="0"/>
        <v>13</v>
      </c>
      <c r="T3" s="58">
        <f t="shared" si="0"/>
        <v>14</v>
      </c>
      <c r="U3" s="58">
        <f t="shared" si="0"/>
        <v>15</v>
      </c>
      <c r="V3" s="58">
        <f t="shared" si="0"/>
        <v>16</v>
      </c>
      <c r="W3" s="58">
        <f t="shared" si="0"/>
        <v>17</v>
      </c>
      <c r="X3" s="58">
        <f t="shared" si="0"/>
        <v>18</v>
      </c>
      <c r="Y3" s="58">
        <f t="shared" si="0"/>
        <v>19</v>
      </c>
      <c r="Z3" s="58">
        <f t="shared" si="0"/>
        <v>20</v>
      </c>
      <c r="AA3" s="58">
        <f t="shared" si="0"/>
        <v>21</v>
      </c>
      <c r="AB3" s="58">
        <f t="shared" si="0"/>
        <v>22</v>
      </c>
      <c r="AC3" s="58">
        <f t="shared" si="0"/>
        <v>23</v>
      </c>
      <c r="AD3" s="58">
        <f t="shared" si="0"/>
        <v>24</v>
      </c>
      <c r="AE3" s="58">
        <f t="shared" si="0"/>
        <v>25</v>
      </c>
      <c r="AF3" s="58">
        <f t="shared" si="0"/>
        <v>26</v>
      </c>
      <c r="AG3" s="58">
        <f t="shared" si="0"/>
        <v>27</v>
      </c>
      <c r="AH3" s="58">
        <f t="shared" si="0"/>
        <v>28</v>
      </c>
      <c r="AI3" s="58">
        <f t="shared" si="0"/>
        <v>29</v>
      </c>
      <c r="AJ3" s="58">
        <f t="shared" si="0"/>
        <v>30</v>
      </c>
      <c r="AK3" s="58">
        <f t="shared" si="0"/>
        <v>31</v>
      </c>
      <c r="AL3" s="58">
        <f t="shared" si="0"/>
        <v>32</v>
      </c>
      <c r="AM3" s="58">
        <f t="shared" ref="AM3:BN3" si="1">+AL3+1</f>
        <v>33</v>
      </c>
      <c r="AN3" s="58">
        <f t="shared" si="1"/>
        <v>34</v>
      </c>
      <c r="AO3" s="58">
        <f t="shared" si="1"/>
        <v>35</v>
      </c>
      <c r="AP3" s="58">
        <f t="shared" si="1"/>
        <v>36</v>
      </c>
      <c r="AQ3" s="58">
        <f t="shared" si="1"/>
        <v>37</v>
      </c>
      <c r="AR3" s="58">
        <f t="shared" si="1"/>
        <v>38</v>
      </c>
      <c r="AS3" s="58">
        <f t="shared" si="1"/>
        <v>39</v>
      </c>
      <c r="AT3" s="58">
        <f t="shared" si="1"/>
        <v>40</v>
      </c>
      <c r="AU3" s="58">
        <f t="shared" si="1"/>
        <v>41</v>
      </c>
      <c r="AV3" s="58">
        <f t="shared" si="1"/>
        <v>42</v>
      </c>
      <c r="AW3" s="58">
        <f t="shared" si="1"/>
        <v>43</v>
      </c>
      <c r="AX3" s="58">
        <f t="shared" si="1"/>
        <v>44</v>
      </c>
      <c r="AY3" s="58">
        <f t="shared" si="1"/>
        <v>45</v>
      </c>
      <c r="AZ3" s="58">
        <f t="shared" si="1"/>
        <v>46</v>
      </c>
      <c r="BA3" s="58">
        <f t="shared" si="1"/>
        <v>47</v>
      </c>
      <c r="BB3" s="58">
        <f t="shared" si="1"/>
        <v>48</v>
      </c>
      <c r="BC3" s="58">
        <f t="shared" si="1"/>
        <v>49</v>
      </c>
      <c r="BD3" s="58">
        <f t="shared" si="1"/>
        <v>50</v>
      </c>
      <c r="BE3" s="58">
        <f t="shared" si="1"/>
        <v>51</v>
      </c>
      <c r="BF3" s="58">
        <f t="shared" si="1"/>
        <v>52</v>
      </c>
      <c r="BG3" s="58">
        <f t="shared" si="1"/>
        <v>53</v>
      </c>
      <c r="BH3" s="58">
        <f t="shared" si="1"/>
        <v>54</v>
      </c>
      <c r="BI3" s="58">
        <f t="shared" si="1"/>
        <v>55</v>
      </c>
      <c r="BJ3" s="58">
        <f t="shared" si="1"/>
        <v>56</v>
      </c>
      <c r="BK3" s="58">
        <f t="shared" si="1"/>
        <v>57</v>
      </c>
      <c r="BL3" s="58">
        <f t="shared" si="1"/>
        <v>58</v>
      </c>
      <c r="BM3" s="58">
        <f t="shared" si="1"/>
        <v>59</v>
      </c>
      <c r="BN3" s="58">
        <f t="shared" si="1"/>
        <v>60</v>
      </c>
      <c r="BO3" s="20"/>
      <c r="BP3" s="58" t="s">
        <v>113</v>
      </c>
      <c r="BQ3" s="58" t="s">
        <v>144</v>
      </c>
      <c r="BR3" s="58" t="s">
        <v>145</v>
      </c>
      <c r="BS3" s="58" t="s">
        <v>146</v>
      </c>
      <c r="BT3" s="58" t="s">
        <v>147</v>
      </c>
    </row>
    <row r="4" spans="1:72" ht="18" customHeight="1" x14ac:dyDescent="0.35">
      <c r="A4" s="20"/>
      <c r="B4" s="20"/>
      <c r="C4" s="59"/>
      <c r="D4" s="27" t="s">
        <v>148</v>
      </c>
      <c r="E4" s="20"/>
      <c r="F4" s="58"/>
      <c r="G4" s="58" t="s">
        <v>149</v>
      </c>
      <c r="H4" s="58" t="s">
        <v>149</v>
      </c>
      <c r="I4" s="58" t="s">
        <v>149</v>
      </c>
      <c r="J4" s="58" t="s">
        <v>149</v>
      </c>
      <c r="K4" s="58" t="s">
        <v>149</v>
      </c>
      <c r="L4" s="58" t="s">
        <v>149</v>
      </c>
      <c r="M4" s="58" t="s">
        <v>149</v>
      </c>
      <c r="N4" s="58" t="s">
        <v>149</v>
      </c>
      <c r="O4" s="58" t="s">
        <v>149</v>
      </c>
      <c r="P4" s="58" t="s">
        <v>149</v>
      </c>
      <c r="Q4" s="58" t="s">
        <v>149</v>
      </c>
      <c r="R4" s="58" t="s">
        <v>149</v>
      </c>
      <c r="S4" s="58" t="s">
        <v>149</v>
      </c>
      <c r="T4" s="58" t="s">
        <v>149</v>
      </c>
      <c r="U4" s="58" t="s">
        <v>149</v>
      </c>
      <c r="V4" s="58" t="s">
        <v>149</v>
      </c>
      <c r="W4" s="58" t="s">
        <v>149</v>
      </c>
      <c r="X4" s="58" t="s">
        <v>149</v>
      </c>
      <c r="Y4" s="58" t="s">
        <v>149</v>
      </c>
      <c r="Z4" s="58" t="s">
        <v>149</v>
      </c>
      <c r="AA4" s="58" t="s">
        <v>149</v>
      </c>
      <c r="AB4" s="58" t="s">
        <v>149</v>
      </c>
      <c r="AC4" s="58" t="s">
        <v>149</v>
      </c>
      <c r="AD4" s="58" t="s">
        <v>149</v>
      </c>
      <c r="AE4" s="58" t="s">
        <v>149</v>
      </c>
      <c r="AF4" s="58" t="s">
        <v>149</v>
      </c>
      <c r="AG4" s="58" t="s">
        <v>149</v>
      </c>
      <c r="AH4" s="58" t="s">
        <v>149</v>
      </c>
      <c r="AI4" s="58" t="s">
        <v>149</v>
      </c>
      <c r="AJ4" s="58" t="s">
        <v>149</v>
      </c>
      <c r="AK4" s="58" t="s">
        <v>149</v>
      </c>
      <c r="AL4" s="58" t="s">
        <v>149</v>
      </c>
      <c r="AM4" s="58" t="s">
        <v>149</v>
      </c>
      <c r="AN4" s="58" t="s">
        <v>149</v>
      </c>
      <c r="AO4" s="58" t="s">
        <v>149</v>
      </c>
      <c r="AP4" s="58" t="s">
        <v>149</v>
      </c>
      <c r="AQ4" s="58" t="s">
        <v>149</v>
      </c>
      <c r="AR4" s="58" t="s">
        <v>149</v>
      </c>
      <c r="AS4" s="58" t="s">
        <v>149</v>
      </c>
      <c r="AT4" s="58" t="s">
        <v>149</v>
      </c>
      <c r="AU4" s="58" t="s">
        <v>149</v>
      </c>
      <c r="AV4" s="58" t="s">
        <v>149</v>
      </c>
      <c r="AW4" s="58" t="s">
        <v>149</v>
      </c>
      <c r="AX4" s="58" t="s">
        <v>149</v>
      </c>
      <c r="AY4" s="58" t="s">
        <v>149</v>
      </c>
      <c r="AZ4" s="58" t="s">
        <v>149</v>
      </c>
      <c r="BA4" s="58" t="s">
        <v>149</v>
      </c>
      <c r="BB4" s="58" t="s">
        <v>149</v>
      </c>
      <c r="BC4" s="58" t="s">
        <v>149</v>
      </c>
      <c r="BD4" s="58" t="s">
        <v>149</v>
      </c>
      <c r="BE4" s="58" t="s">
        <v>149</v>
      </c>
      <c r="BF4" s="58" t="s">
        <v>149</v>
      </c>
      <c r="BG4" s="58" t="s">
        <v>149</v>
      </c>
      <c r="BH4" s="58" t="s">
        <v>149</v>
      </c>
      <c r="BI4" s="58" t="s">
        <v>149</v>
      </c>
      <c r="BJ4" s="58" t="s">
        <v>149</v>
      </c>
      <c r="BK4" s="58" t="s">
        <v>149</v>
      </c>
      <c r="BL4" s="58" t="s">
        <v>149</v>
      </c>
      <c r="BM4" s="58" t="s">
        <v>149</v>
      </c>
      <c r="BN4" s="58" t="s">
        <v>149</v>
      </c>
      <c r="BO4" s="20"/>
      <c r="BP4" s="58" t="s">
        <v>149</v>
      </c>
      <c r="BQ4" s="58" t="s">
        <v>149</v>
      </c>
      <c r="BR4" s="58" t="s">
        <v>149</v>
      </c>
      <c r="BS4" s="58" t="s">
        <v>149</v>
      </c>
      <c r="BT4" s="58" t="s">
        <v>149</v>
      </c>
    </row>
    <row r="5" spans="1:72" ht="18" customHeight="1" x14ac:dyDescent="0.3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</row>
    <row r="6" spans="1:72" ht="18" customHeight="1" x14ac:dyDescent="0.35">
      <c r="A6" s="18" t="s">
        <v>150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20"/>
      <c r="BP6" s="18"/>
      <c r="BQ6" s="18"/>
      <c r="BR6" s="18"/>
      <c r="BS6" s="18"/>
      <c r="BT6" s="18"/>
    </row>
    <row r="7" spans="1:72" ht="18" customHeight="1" x14ac:dyDescent="0.3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49"/>
      <c r="BP7" s="49"/>
      <c r="BQ7" s="49"/>
      <c r="BR7" s="49"/>
      <c r="BS7" s="49"/>
      <c r="BT7" s="49"/>
    </row>
    <row r="8" spans="1:72" ht="15.75" customHeight="1" x14ac:dyDescent="0.35">
      <c r="A8" s="20"/>
      <c r="B8" s="30" t="s">
        <v>151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</row>
    <row r="9" spans="1:72" ht="15.75" customHeight="1" outlineLevel="1" x14ac:dyDescent="0.35">
      <c r="A9" s="20"/>
      <c r="B9" s="20"/>
      <c r="C9" s="20" t="str">
        <f>'1.Premissas Receitas'!A25</f>
        <v># de clientes Assinatura Fremium</v>
      </c>
      <c r="D9" s="20"/>
      <c r="E9" s="20"/>
      <c r="G9" s="60">
        <f>'1.Premissas Receitas'!G25</f>
        <v>1</v>
      </c>
      <c r="H9" s="60">
        <f>G9+(G9*'1.Premissas Receitas'!$B$19)</f>
        <v>1.03</v>
      </c>
      <c r="I9" s="60">
        <f>H9+(H9*'1.Premissas Receitas'!$B$19)</f>
        <v>1.0609</v>
      </c>
      <c r="J9" s="60">
        <f>I9+(I9*'1.Premissas Receitas'!$B$19)</f>
        <v>1.092727</v>
      </c>
      <c r="K9" s="60">
        <f>J9+(J9*'1.Premissas Receitas'!$B$19)</f>
        <v>1.1255088099999999</v>
      </c>
      <c r="L9" s="60">
        <f>K9+(K9*'1.Premissas Receitas'!$B$19)</f>
        <v>1.1592740742999998</v>
      </c>
      <c r="M9" s="60">
        <f>L9+(L9*'1.Premissas Receitas'!$B$19)</f>
        <v>1.1940522965289999</v>
      </c>
      <c r="N9" s="60">
        <f>M9+(M9*'1.Premissas Receitas'!$B$19)</f>
        <v>1.22987386542487</v>
      </c>
      <c r="O9" s="60">
        <f>N9+(N9*'1.Premissas Receitas'!$B$19)</f>
        <v>1.2667700813876162</v>
      </c>
      <c r="P9" s="60">
        <f>O9+(O9*'1.Premissas Receitas'!$B$19)</f>
        <v>1.3047731838292447</v>
      </c>
      <c r="Q9" s="60">
        <f>P9+(P9*'1.Premissas Receitas'!$B$19)</f>
        <v>1.343916379344122</v>
      </c>
      <c r="R9" s="60">
        <f>Q9+(Q9*'1.Premissas Receitas'!$B$19)</f>
        <v>1.3842338707244457</v>
      </c>
      <c r="S9" s="60">
        <f>R9+(R9*'1.Premissas Receitas'!$G$16)</f>
        <v>1.9379274190142239</v>
      </c>
      <c r="T9" s="60">
        <f>S9+(S9*'1.Premissas Receitas'!$B$19)</f>
        <v>1.9960652415846507</v>
      </c>
      <c r="U9" s="60">
        <f>T9+(T9*'1.Premissas Receitas'!$B$19)</f>
        <v>2.05594719883219</v>
      </c>
      <c r="V9" s="60">
        <f>U9+(U9*'1.Premissas Receitas'!$B$19)</f>
        <v>2.1176256147971557</v>
      </c>
      <c r="W9" s="60">
        <f>V9+(V9*'1.Premissas Receitas'!$B$19)</f>
        <v>2.1811543832410702</v>
      </c>
      <c r="X9" s="60">
        <f>W9+(W9*'1.Premissas Receitas'!$B$19)</f>
        <v>2.2465890147383023</v>
      </c>
      <c r="Y9" s="60">
        <f>X9+(X9*'1.Premissas Receitas'!$B$19)</f>
        <v>2.3139866851804514</v>
      </c>
      <c r="Z9" s="60">
        <f>Y9+(Y9*'1.Premissas Receitas'!$B$19)</f>
        <v>2.3834062857358651</v>
      </c>
      <c r="AA9" s="60">
        <f>Z9+(Z9*'1.Premissas Receitas'!$B$19)</f>
        <v>2.454908474307941</v>
      </c>
      <c r="AB9" s="60">
        <f>AA9+(AA9*'1.Premissas Receitas'!$B$19)</f>
        <v>2.5285557285371794</v>
      </c>
      <c r="AC9" s="60">
        <f>AB9+(AB9*'1.Premissas Receitas'!$B$19)</f>
        <v>2.6044124003932949</v>
      </c>
      <c r="AD9" s="60">
        <f>AC9+(AC9*'1.Premissas Receitas'!$B$19)</f>
        <v>2.6825447724050937</v>
      </c>
      <c r="AE9" s="60">
        <f>AD9+(AD9*'1.Premissas Receitas'!$G$17)</f>
        <v>3.4873082041266219</v>
      </c>
      <c r="AF9" s="60">
        <f>AE9+(AE9*'1.Premissas Receitas'!$B$19)</f>
        <v>3.5919274502504206</v>
      </c>
      <c r="AG9" s="60">
        <f>AF9+(AF9*'1.Premissas Receitas'!$B$19)</f>
        <v>3.6996852737579333</v>
      </c>
      <c r="AH9" s="60">
        <f>AG9+(AG9*'1.Premissas Receitas'!$B$19)</f>
        <v>3.8106758319706713</v>
      </c>
      <c r="AI9" s="60">
        <f>AH9+(AH9*'1.Premissas Receitas'!$B$19)</f>
        <v>3.9249961069297914</v>
      </c>
      <c r="AJ9" s="60">
        <f>AI9+(AI9*'1.Premissas Receitas'!$B$19)</f>
        <v>4.0427459901376848</v>
      </c>
      <c r="AK9" s="60">
        <f>AJ9+(AJ9*'1.Premissas Receitas'!$B$19)</f>
        <v>4.164028369841815</v>
      </c>
      <c r="AL9" s="60">
        <f>AK9+(AK9*'1.Premissas Receitas'!$B$19)</f>
        <v>4.2889492209370692</v>
      </c>
      <c r="AM9" s="60">
        <f>AL9+(AL9*'1.Premissas Receitas'!$B$19)</f>
        <v>4.4176176975651815</v>
      </c>
      <c r="AN9" s="60">
        <f>AM9+(AM9*'1.Premissas Receitas'!$B$19)</f>
        <v>4.550146228492137</v>
      </c>
      <c r="AO9" s="60">
        <f>AN9+(AN9*'1.Premissas Receitas'!$B$19)</f>
        <v>4.6866506153469008</v>
      </c>
      <c r="AP9" s="60">
        <f>AO9+(AO9*'1.Premissas Receitas'!$B$19)</f>
        <v>4.8272501338073077</v>
      </c>
      <c r="AQ9" s="60">
        <f>AP9+(AP9*'1.Premissas Receitas'!$G$18)</f>
        <v>5.7927001605687689</v>
      </c>
      <c r="AR9" s="60">
        <f>AQ9+(AQ9*'1.Premissas Receitas'!$B$19)</f>
        <v>5.9664811653858321</v>
      </c>
      <c r="AS9" s="60">
        <f>AR9+(AR9*'1.Premissas Receitas'!$B$19)</f>
        <v>6.1454756003474067</v>
      </c>
      <c r="AT9" s="60">
        <f>AS9+(AS9*'1.Premissas Receitas'!$B$19)</f>
        <v>6.329839868357829</v>
      </c>
      <c r="AU9" s="60">
        <f>AT9+(AT9*'1.Premissas Receitas'!$B$19)</f>
        <v>6.5197350644085637</v>
      </c>
      <c r="AV9" s="60">
        <f>AU9+(AU9*'1.Premissas Receitas'!$B$19)</f>
        <v>6.7153271163408208</v>
      </c>
      <c r="AW9" s="60">
        <f>AV9+(AV9*'1.Premissas Receitas'!$B$19)</f>
        <v>6.9167869298310451</v>
      </c>
      <c r="AX9" s="60">
        <f>AW9+(AW9*'1.Premissas Receitas'!$B$19)</f>
        <v>7.1242905377259769</v>
      </c>
      <c r="AY9" s="60">
        <f>AX9+(AX9*'1.Premissas Receitas'!$B$19)</f>
        <v>7.3380192538577562</v>
      </c>
      <c r="AZ9" s="60">
        <f>AY9+(AY9*'1.Premissas Receitas'!$B$19)</f>
        <v>7.558159831473489</v>
      </c>
      <c r="BA9" s="60">
        <f>AZ9+(AZ9*'1.Premissas Receitas'!$B$19)</f>
        <v>7.7849046264176938</v>
      </c>
      <c r="BB9" s="60">
        <f>BA9+(BA9*'1.Premissas Receitas'!$B$19)</f>
        <v>8.0184517652102247</v>
      </c>
      <c r="BC9" s="60">
        <f>BB9+(BB9*'1.Premissas Receitas'!$G$19)</f>
        <v>9.2212195299917585</v>
      </c>
      <c r="BD9" s="60">
        <f>BC9+(BC9*'1.Premissas Receitas'!$B$19)</f>
        <v>9.497856115891512</v>
      </c>
      <c r="BE9" s="60">
        <f>BD9+(BD9*'1.Premissas Receitas'!$B$19)</f>
        <v>9.7827917993682583</v>
      </c>
      <c r="BF9" s="60">
        <f>BE9+(BE9*'1.Premissas Receitas'!$B$19)</f>
        <v>10.076275553349307</v>
      </c>
      <c r="BG9" s="60">
        <f>BF9+(BF9*'1.Premissas Receitas'!$B$19)</f>
        <v>10.378563819949786</v>
      </c>
      <c r="BH9" s="60">
        <f>BG9+(BG9*'1.Premissas Receitas'!$B$19)</f>
        <v>10.689920734548279</v>
      </c>
      <c r="BI9" s="60">
        <f>BH9+(BH9*'1.Premissas Receitas'!$B$19)</f>
        <v>11.010618356584727</v>
      </c>
      <c r="BJ9" s="60">
        <f>BI9+(BI9*'1.Premissas Receitas'!$B$19)</f>
        <v>11.340936907282268</v>
      </c>
      <c r="BK9" s="60">
        <f>BJ9+(BJ9*'1.Premissas Receitas'!$B$19)</f>
        <v>11.681165014500737</v>
      </c>
      <c r="BL9" s="60">
        <f>BK9+(BK9*'1.Premissas Receitas'!$B$19)</f>
        <v>12.031599964935758</v>
      </c>
      <c r="BM9" s="60">
        <f>BL9+(BL9*'1.Premissas Receitas'!$B$19)</f>
        <v>12.39254796388383</v>
      </c>
      <c r="BN9" s="60">
        <f>BM9+(BM9*'1.Premissas Receitas'!$B$19)</f>
        <v>12.764324402800344</v>
      </c>
      <c r="BO9" s="49"/>
      <c r="BP9" s="61">
        <f t="shared" ref="BP9:BP26" si="2">SUM(G9:R9)</f>
        <v>14.192029561539298</v>
      </c>
      <c r="BQ9" s="61">
        <f t="shared" ref="BQ9:BQ26" si="3">SUM(T9:AD9)</f>
        <v>25.565195799753191</v>
      </c>
      <c r="BR9" s="61">
        <f t="shared" ref="BR9:BR26" si="4">SUM(AE9:AP9)</f>
        <v>49.491981123163541</v>
      </c>
      <c r="BS9" s="61">
        <f t="shared" ref="BS9:BS26" si="5">SUM(AQ9:BB9)</f>
        <v>82.210171919925429</v>
      </c>
      <c r="BT9" s="61">
        <f t="shared" ref="BT9:BT26" si="6">SUM(BC9:BN9)</f>
        <v>130.86782016308658</v>
      </c>
    </row>
    <row r="10" spans="1:72" ht="15.75" customHeight="1" outlineLevel="1" x14ac:dyDescent="0.35">
      <c r="A10" s="20"/>
      <c r="B10" s="20"/>
      <c r="C10" s="20" t="str">
        <f>'1.Premissas Receitas'!A26</f>
        <v># de clientes Assinatura 1</v>
      </c>
      <c r="D10" s="20"/>
      <c r="E10" s="20"/>
      <c r="G10" s="60">
        <f>'1.Premissas Receitas'!G26</f>
        <v>0.7</v>
      </c>
      <c r="H10" s="60">
        <f>G10+(G10*'1.Premissas Receitas'!$B$19)</f>
        <v>0.72099999999999997</v>
      </c>
      <c r="I10" s="60">
        <f>H10+(H10*'1.Premissas Receitas'!$B$19)</f>
        <v>0.74263000000000001</v>
      </c>
      <c r="J10" s="60">
        <f>I10+(I10*'1.Premissas Receitas'!$B$19)</f>
        <v>0.7649089</v>
      </c>
      <c r="K10" s="60">
        <f>J10+(J10*'1.Premissas Receitas'!$B$19)</f>
        <v>0.78785616700000005</v>
      </c>
      <c r="L10" s="60">
        <f>K10+(K10*'1.Premissas Receitas'!$B$19)</f>
        <v>0.81149185201000007</v>
      </c>
      <c r="M10" s="60">
        <f>L10+(L10*'1.Premissas Receitas'!$B$19)</f>
        <v>0.83583660757030009</v>
      </c>
      <c r="N10" s="60">
        <f>M10+(M10*'1.Premissas Receitas'!$B$19)</f>
        <v>0.86091170579740905</v>
      </c>
      <c r="O10" s="60">
        <f>N10+(N10*'1.Premissas Receitas'!$B$19)</f>
        <v>0.88673905697133137</v>
      </c>
      <c r="P10" s="60">
        <f>O10+(O10*'1.Premissas Receitas'!$B$19)</f>
        <v>0.9133412286804713</v>
      </c>
      <c r="Q10" s="60">
        <f>P10+(P10*'1.Premissas Receitas'!$B$19)</f>
        <v>0.94074146554088545</v>
      </c>
      <c r="R10" s="60">
        <f>Q10+(Q10*'1.Premissas Receitas'!$B$19)</f>
        <v>0.96896370950711197</v>
      </c>
      <c r="S10" s="60">
        <f>R10+(R10*'1.Premissas Receitas'!$G$16)</f>
        <v>1.3565491933099567</v>
      </c>
      <c r="T10" s="60">
        <f>S10+(S10*'1.Premissas Receitas'!$B$19)</f>
        <v>1.3972456691092554</v>
      </c>
      <c r="U10" s="60">
        <f>T10+(T10*'1.Premissas Receitas'!$B$19)</f>
        <v>1.439163039182533</v>
      </c>
      <c r="V10" s="60">
        <f>U10+(U10*'1.Premissas Receitas'!$B$19)</f>
        <v>1.4823379303580089</v>
      </c>
      <c r="W10" s="60">
        <f>V10+(V10*'1.Premissas Receitas'!$B$19)</f>
        <v>1.526808068268749</v>
      </c>
      <c r="X10" s="60">
        <f>W10+(W10*'1.Premissas Receitas'!$B$19)</f>
        <v>1.5726123103168115</v>
      </c>
      <c r="Y10" s="60">
        <f>X10+(X10*'1.Premissas Receitas'!$B$19)</f>
        <v>1.6197906796263157</v>
      </c>
      <c r="Z10" s="60">
        <f>Y10+(Y10*'1.Premissas Receitas'!$B$19)</f>
        <v>1.6683844000151051</v>
      </c>
      <c r="AA10" s="60">
        <f>Z10+(Z10*'1.Premissas Receitas'!$B$19)</f>
        <v>1.7184359320155582</v>
      </c>
      <c r="AB10" s="60">
        <f>AA10+(AA10*'1.Premissas Receitas'!$B$19)</f>
        <v>1.7699890099760249</v>
      </c>
      <c r="AC10" s="60">
        <f>AB10+(AB10*'1.Premissas Receitas'!$B$19)</f>
        <v>1.8230886802753057</v>
      </c>
      <c r="AD10" s="60">
        <f>AC10+(AC10*'1.Premissas Receitas'!$B$19)</f>
        <v>1.8777813406835648</v>
      </c>
      <c r="AE10" s="60">
        <f>AD10+(AD10*'1.Premissas Receitas'!$G$17)</f>
        <v>2.4411157428886341</v>
      </c>
      <c r="AF10" s="60">
        <f>AE10+(AE10*'1.Premissas Receitas'!$B$19)</f>
        <v>2.5143492151752933</v>
      </c>
      <c r="AG10" s="60">
        <f>AF10+(AF10*'1.Premissas Receitas'!$B$19)</f>
        <v>2.589779691630552</v>
      </c>
      <c r="AH10" s="60">
        <f>AG10+(AG10*'1.Premissas Receitas'!$B$19)</f>
        <v>2.6674730823794683</v>
      </c>
      <c r="AI10" s="60">
        <f>AH10+(AH10*'1.Premissas Receitas'!$B$19)</f>
        <v>2.7474972748508524</v>
      </c>
      <c r="AJ10" s="60">
        <f>AI10+(AI10*'1.Premissas Receitas'!$B$19)</f>
        <v>2.8299221930963778</v>
      </c>
      <c r="AK10" s="60">
        <f>AJ10+(AJ10*'1.Premissas Receitas'!$B$19)</f>
        <v>2.9148198588892691</v>
      </c>
      <c r="AL10" s="60">
        <f>AK10+(AK10*'1.Premissas Receitas'!$B$19)</f>
        <v>3.0022644546559469</v>
      </c>
      <c r="AM10" s="60">
        <f>AL10+(AL10*'1.Premissas Receitas'!$B$19)</f>
        <v>3.0923323882956253</v>
      </c>
      <c r="AN10" s="60">
        <f>AM10+(AM10*'1.Premissas Receitas'!$B$19)</f>
        <v>3.1851023599444939</v>
      </c>
      <c r="AO10" s="60">
        <f>AN10+(AN10*'1.Premissas Receitas'!$B$19)</f>
        <v>3.2806554307428288</v>
      </c>
      <c r="AP10" s="60">
        <f>AO10+(AO10*'1.Premissas Receitas'!$B$19)</f>
        <v>3.3790750936651137</v>
      </c>
      <c r="AQ10" s="60">
        <f>AP10+(AP10*'1.Premissas Receitas'!$G$18)</f>
        <v>4.0548901123981365</v>
      </c>
      <c r="AR10" s="60">
        <f>AQ10+(AQ10*'1.Premissas Receitas'!$B$19)</f>
        <v>4.1765368157700804</v>
      </c>
      <c r="AS10" s="60">
        <f>AR10+(AR10*'1.Premissas Receitas'!$B$19)</f>
        <v>4.3018329202431831</v>
      </c>
      <c r="AT10" s="60">
        <f>AS10+(AS10*'1.Premissas Receitas'!$B$19)</f>
        <v>4.4308879078504786</v>
      </c>
      <c r="AU10" s="60">
        <f>AT10+(AT10*'1.Premissas Receitas'!$B$19)</f>
        <v>4.563814545085993</v>
      </c>
      <c r="AV10" s="60">
        <f>AU10+(AU10*'1.Premissas Receitas'!$B$19)</f>
        <v>4.7007289814385729</v>
      </c>
      <c r="AW10" s="60">
        <f>AV10+(AV10*'1.Premissas Receitas'!$B$19)</f>
        <v>4.8417508508817297</v>
      </c>
      <c r="AX10" s="60">
        <f>AW10+(AW10*'1.Premissas Receitas'!$B$19)</f>
        <v>4.9870033764081816</v>
      </c>
      <c r="AY10" s="60">
        <f>AX10+(AX10*'1.Premissas Receitas'!$B$19)</f>
        <v>5.1366134777004273</v>
      </c>
      <c r="AZ10" s="60">
        <f>AY10+(AY10*'1.Premissas Receitas'!$B$19)</f>
        <v>5.2907118820314398</v>
      </c>
      <c r="BA10" s="60">
        <f>AZ10+(AZ10*'1.Premissas Receitas'!$B$19)</f>
        <v>5.4494332384923831</v>
      </c>
      <c r="BB10" s="60">
        <f>BA10+(BA10*'1.Premissas Receitas'!$B$19)</f>
        <v>5.6129162356471545</v>
      </c>
      <c r="BC10" s="60">
        <f>BB10+(BB10*'1.Premissas Receitas'!$G$19)</f>
        <v>6.4548536709942272</v>
      </c>
      <c r="BD10" s="60">
        <f>BC10+(BC10*'1.Premissas Receitas'!$B$19)</f>
        <v>6.648499281124054</v>
      </c>
      <c r="BE10" s="60">
        <f>BD10+(BD10*'1.Premissas Receitas'!$B$19)</f>
        <v>6.8479542595577758</v>
      </c>
      <c r="BF10" s="60">
        <f>BE10+(BE10*'1.Premissas Receitas'!$B$19)</f>
        <v>7.0533928873445095</v>
      </c>
      <c r="BG10" s="60">
        <f>BF10+(BF10*'1.Premissas Receitas'!$B$19)</f>
        <v>7.2649946739648446</v>
      </c>
      <c r="BH10" s="60">
        <f>BG10+(BG10*'1.Premissas Receitas'!$B$19)</f>
        <v>7.4829445141837896</v>
      </c>
      <c r="BI10" s="60">
        <f>BH10+(BH10*'1.Premissas Receitas'!$B$19)</f>
        <v>7.7074328496093036</v>
      </c>
      <c r="BJ10" s="60">
        <f>BI10+(BI10*'1.Premissas Receitas'!$B$19)</f>
        <v>7.9386558350975829</v>
      </c>
      <c r="BK10" s="60">
        <f>BJ10+(BJ10*'1.Premissas Receitas'!$B$19)</f>
        <v>8.1768155101505098</v>
      </c>
      <c r="BL10" s="60">
        <f>BK10+(BK10*'1.Premissas Receitas'!$B$19)</f>
        <v>8.4221199754550256</v>
      </c>
      <c r="BM10" s="60">
        <f>BL10+(BL10*'1.Premissas Receitas'!$B$19)</f>
        <v>8.6747835747186759</v>
      </c>
      <c r="BN10" s="60">
        <f>BM10+(BM10*'1.Premissas Receitas'!$B$19)</f>
        <v>8.9350270819602358</v>
      </c>
      <c r="BO10" s="49"/>
      <c r="BP10" s="61">
        <f t="shared" si="2"/>
        <v>9.9344206930775076</v>
      </c>
      <c r="BQ10" s="61">
        <f t="shared" si="3"/>
        <v>17.89563705982723</v>
      </c>
      <c r="BR10" s="61">
        <f t="shared" si="4"/>
        <v>34.644386786214454</v>
      </c>
      <c r="BS10" s="61">
        <f t="shared" si="5"/>
        <v>57.547120343947761</v>
      </c>
      <c r="BT10" s="61">
        <f t="shared" si="6"/>
        <v>91.607474114160539</v>
      </c>
    </row>
    <row r="11" spans="1:72" ht="15.75" customHeight="1" outlineLevel="1" x14ac:dyDescent="0.35">
      <c r="A11" s="20"/>
      <c r="B11" s="20"/>
      <c r="C11" s="20" t="str">
        <f>'1.Premissas Receitas'!A27</f>
        <v># de clientes Assinatura 2</v>
      </c>
      <c r="D11" s="20"/>
      <c r="E11" s="20"/>
      <c r="G11" s="60">
        <f>'1.Premissas Receitas'!G27</f>
        <v>0.3</v>
      </c>
      <c r="H11" s="60">
        <f>G11+(G11*'1.Premissas Receitas'!$B$19)</f>
        <v>0.309</v>
      </c>
      <c r="I11" s="60">
        <f>H11+(H11*'1.Premissas Receitas'!$B$19)</f>
        <v>0.31827</v>
      </c>
      <c r="J11" s="60">
        <f>I11+(I11*'1.Premissas Receitas'!$B$19)</f>
        <v>0.3278181</v>
      </c>
      <c r="K11" s="60">
        <f>J11+(J11*'1.Premissas Receitas'!$B$19)</f>
        <v>0.33765264299999997</v>
      </c>
      <c r="L11" s="60">
        <f>K11+(K11*'1.Premissas Receitas'!$B$19)</f>
        <v>0.34778222229</v>
      </c>
      <c r="M11" s="60">
        <f>L11+(L11*'1.Premissas Receitas'!$B$19)</f>
        <v>0.35821568895869998</v>
      </c>
      <c r="N11" s="60">
        <f>M11+(M11*'1.Premissas Receitas'!$B$19)</f>
        <v>0.36896215962746098</v>
      </c>
      <c r="O11" s="60">
        <f>N11+(N11*'1.Premissas Receitas'!$B$19)</f>
        <v>0.38003102441628483</v>
      </c>
      <c r="P11" s="60">
        <f>O11+(O11*'1.Premissas Receitas'!$B$19)</f>
        <v>0.39143195514877338</v>
      </c>
      <c r="Q11" s="60">
        <f>P11+(P11*'1.Premissas Receitas'!$B$19)</f>
        <v>0.40317491380323656</v>
      </c>
      <c r="R11" s="60">
        <f>Q11+(Q11*'1.Premissas Receitas'!$B$19)</f>
        <v>0.41527016121733368</v>
      </c>
      <c r="S11" s="60">
        <f>R11+(R11*'1.Premissas Receitas'!$G$16)</f>
        <v>0.58137822570426723</v>
      </c>
      <c r="T11" s="60">
        <f>S11+(S11*'1.Premissas Receitas'!$B$19)</f>
        <v>0.59881957247539519</v>
      </c>
      <c r="U11" s="60">
        <f>T11+(T11*'1.Premissas Receitas'!$B$19)</f>
        <v>0.61678415964965705</v>
      </c>
      <c r="V11" s="60">
        <f>U11+(U11*'1.Premissas Receitas'!$B$19)</f>
        <v>0.63528768443914674</v>
      </c>
      <c r="W11" s="60">
        <f>V11+(V11*'1.Premissas Receitas'!$B$19)</f>
        <v>0.6543463149723211</v>
      </c>
      <c r="X11" s="60">
        <f>W11+(W11*'1.Premissas Receitas'!$B$19)</f>
        <v>0.67397670442149071</v>
      </c>
      <c r="Y11" s="60">
        <f>X11+(X11*'1.Premissas Receitas'!$B$19)</f>
        <v>0.69419600555413541</v>
      </c>
      <c r="Z11" s="60">
        <f>Y11+(Y11*'1.Premissas Receitas'!$B$19)</f>
        <v>0.71502188572075942</v>
      </c>
      <c r="AA11" s="60">
        <f>Z11+(Z11*'1.Premissas Receitas'!$B$19)</f>
        <v>0.73647254229238224</v>
      </c>
      <c r="AB11" s="60">
        <f>AA11+(AA11*'1.Premissas Receitas'!$B$19)</f>
        <v>0.75856671856115365</v>
      </c>
      <c r="AC11" s="60">
        <f>AB11+(AB11*'1.Premissas Receitas'!$B$19)</f>
        <v>0.78132372011798823</v>
      </c>
      <c r="AD11" s="60">
        <f>AC11+(AC11*'1.Premissas Receitas'!$B$19)</f>
        <v>0.80476343172152787</v>
      </c>
      <c r="AE11" s="60">
        <f>AD11+(AD11*'1.Premissas Receitas'!$G$17)</f>
        <v>1.0461924612379863</v>
      </c>
      <c r="AF11" s="60">
        <f>AE11+(AE11*'1.Premissas Receitas'!$B$19)</f>
        <v>1.077578235075126</v>
      </c>
      <c r="AG11" s="60">
        <f>AF11+(AF11*'1.Premissas Receitas'!$B$19)</f>
        <v>1.1099055821273798</v>
      </c>
      <c r="AH11" s="60">
        <f>AG11+(AG11*'1.Premissas Receitas'!$B$19)</f>
        <v>1.1432027495912012</v>
      </c>
      <c r="AI11" s="60">
        <f>AH11+(AH11*'1.Premissas Receitas'!$B$19)</f>
        <v>1.1774988320789372</v>
      </c>
      <c r="AJ11" s="60">
        <f>AI11+(AI11*'1.Premissas Receitas'!$B$19)</f>
        <v>1.2128237970413054</v>
      </c>
      <c r="AK11" s="60">
        <f>AJ11+(AJ11*'1.Premissas Receitas'!$B$19)</f>
        <v>1.2492085109525446</v>
      </c>
      <c r="AL11" s="60">
        <f>AK11+(AK11*'1.Premissas Receitas'!$B$19)</f>
        <v>1.2866847662811209</v>
      </c>
      <c r="AM11" s="60">
        <f>AL11+(AL11*'1.Premissas Receitas'!$B$19)</f>
        <v>1.3252853092695545</v>
      </c>
      <c r="AN11" s="60">
        <f>AM11+(AM11*'1.Premissas Receitas'!$B$19)</f>
        <v>1.3650438685476411</v>
      </c>
      <c r="AO11" s="60">
        <f>AN11+(AN11*'1.Premissas Receitas'!$B$19)</f>
        <v>1.4059951846040704</v>
      </c>
      <c r="AP11" s="60">
        <f>AO11+(AO11*'1.Premissas Receitas'!$B$19)</f>
        <v>1.4481750401421924</v>
      </c>
      <c r="AQ11" s="60">
        <f>AP11+(AP11*'1.Premissas Receitas'!$G$18)</f>
        <v>1.7378100481706309</v>
      </c>
      <c r="AR11" s="60">
        <f>AQ11+(AQ11*'1.Premissas Receitas'!$B$19)</f>
        <v>1.7899443496157499</v>
      </c>
      <c r="AS11" s="60">
        <f>AR11+(AR11*'1.Premissas Receitas'!$B$19)</f>
        <v>1.8436426801042223</v>
      </c>
      <c r="AT11" s="60">
        <f>AS11+(AS11*'1.Premissas Receitas'!$B$19)</f>
        <v>1.898951960507349</v>
      </c>
      <c r="AU11" s="60">
        <f>AT11+(AT11*'1.Premissas Receitas'!$B$19)</f>
        <v>1.9559205193225695</v>
      </c>
      <c r="AV11" s="60">
        <f>AU11+(AU11*'1.Premissas Receitas'!$B$19)</f>
        <v>2.0145981349022466</v>
      </c>
      <c r="AW11" s="60">
        <f>AV11+(AV11*'1.Premissas Receitas'!$B$19)</f>
        <v>2.0750360789493141</v>
      </c>
      <c r="AX11" s="60">
        <f>AW11+(AW11*'1.Premissas Receitas'!$B$19)</f>
        <v>2.1372871613177935</v>
      </c>
      <c r="AY11" s="60">
        <f>AX11+(AX11*'1.Premissas Receitas'!$B$19)</f>
        <v>2.2014057761573271</v>
      </c>
      <c r="AZ11" s="60">
        <f>AY11+(AY11*'1.Premissas Receitas'!$B$19)</f>
        <v>2.267447949442047</v>
      </c>
      <c r="BA11" s="60">
        <f>AZ11+(AZ11*'1.Premissas Receitas'!$B$19)</f>
        <v>2.3354713879253084</v>
      </c>
      <c r="BB11" s="60">
        <f>BA11+(BA11*'1.Premissas Receitas'!$B$19)</f>
        <v>2.4055355295630676</v>
      </c>
      <c r="BC11" s="60">
        <f>BB11+(BB11*'1.Premissas Receitas'!$G$19)</f>
        <v>2.7663658589975277</v>
      </c>
      <c r="BD11" s="60">
        <f>BC11+(BC11*'1.Premissas Receitas'!$B$19)</f>
        <v>2.8493568347674536</v>
      </c>
      <c r="BE11" s="60">
        <f>BD11+(BD11*'1.Premissas Receitas'!$B$19)</f>
        <v>2.9348375398104771</v>
      </c>
      <c r="BF11" s="60">
        <f>BE11+(BE11*'1.Premissas Receitas'!$B$19)</f>
        <v>3.0228826660047914</v>
      </c>
      <c r="BG11" s="60">
        <f>BF11+(BF11*'1.Premissas Receitas'!$B$19)</f>
        <v>3.1135691459849353</v>
      </c>
      <c r="BH11" s="60">
        <f>BG11+(BG11*'1.Premissas Receitas'!$B$19)</f>
        <v>3.2069762203644832</v>
      </c>
      <c r="BI11" s="60">
        <f>BH11+(BH11*'1.Premissas Receitas'!$B$19)</f>
        <v>3.3031855069754177</v>
      </c>
      <c r="BJ11" s="60">
        <f>BI11+(BI11*'1.Premissas Receitas'!$B$19)</f>
        <v>3.4022810721846803</v>
      </c>
      <c r="BK11" s="60">
        <f>BJ11+(BJ11*'1.Premissas Receitas'!$B$19)</f>
        <v>3.5043495043502206</v>
      </c>
      <c r="BL11" s="60">
        <f>BK11+(BK11*'1.Premissas Receitas'!$B$19)</f>
        <v>3.6094799894807275</v>
      </c>
      <c r="BM11" s="60">
        <f>BL11+(BL11*'1.Premissas Receitas'!$B$19)</f>
        <v>3.7177643891651493</v>
      </c>
      <c r="BN11" s="60">
        <f>BM11+(BM11*'1.Premissas Receitas'!$B$19)</f>
        <v>3.8292973208401038</v>
      </c>
      <c r="BO11" s="49"/>
      <c r="BP11" s="61">
        <f t="shared" si="2"/>
        <v>4.257608868461789</v>
      </c>
      <c r="BQ11" s="61">
        <f t="shared" si="3"/>
        <v>7.6695587399259573</v>
      </c>
      <c r="BR11" s="61">
        <f t="shared" si="4"/>
        <v>14.84759433694906</v>
      </c>
      <c r="BS11" s="61">
        <f t="shared" si="5"/>
        <v>24.663051575977626</v>
      </c>
      <c r="BT11" s="61">
        <f t="shared" si="6"/>
        <v>39.260346048925975</v>
      </c>
    </row>
    <row r="12" spans="1:72" ht="15.75" customHeight="1" outlineLevel="1" x14ac:dyDescent="0.35">
      <c r="A12" s="20"/>
      <c r="B12" s="20"/>
      <c r="C12" s="20" t="str">
        <f>'1.Premissas Receitas'!A33</f>
        <v># de clientes marketplace % Comissão 1</v>
      </c>
      <c r="D12" s="20"/>
      <c r="E12" s="20"/>
      <c r="F12" s="20"/>
      <c r="G12" s="60">
        <f>'1.Premissas Receitas'!G33</f>
        <v>0</v>
      </c>
      <c r="H12" s="60">
        <f>G12+(G12*'1.Premissas Receitas'!$B$19)</f>
        <v>0</v>
      </c>
      <c r="I12" s="60">
        <f>H12+(H12*'1.Premissas Receitas'!$B$19)</f>
        <v>0</v>
      </c>
      <c r="J12" s="60">
        <f>I12+(I12*'1.Premissas Receitas'!$B$19)</f>
        <v>0</v>
      </c>
      <c r="K12" s="60">
        <f>J12+(J12*'1.Premissas Receitas'!$B$19)</f>
        <v>0</v>
      </c>
      <c r="L12" s="60">
        <f>K12+(K12*'1.Premissas Receitas'!$B$19)</f>
        <v>0</v>
      </c>
      <c r="M12" s="60">
        <f>L12+(L12*'1.Premissas Receitas'!$B$19)</f>
        <v>0</v>
      </c>
      <c r="N12" s="60">
        <f>M12+(M12*'1.Premissas Receitas'!$B$19)</f>
        <v>0</v>
      </c>
      <c r="O12" s="60">
        <f>N12+(N12*'1.Premissas Receitas'!$B$19)</f>
        <v>0</v>
      </c>
      <c r="P12" s="60">
        <f>O12+(O12*'1.Premissas Receitas'!$B$19)</f>
        <v>0</v>
      </c>
      <c r="Q12" s="60">
        <f>P12+(P12*'1.Premissas Receitas'!$B$19)</f>
        <v>0</v>
      </c>
      <c r="R12" s="60">
        <f>Q12+(Q12*'1.Premissas Receitas'!$B$19)</f>
        <v>0</v>
      </c>
      <c r="S12" s="60">
        <f>R12+(R12*'1.Premissas Receitas'!$G$16)</f>
        <v>0</v>
      </c>
      <c r="T12" s="60">
        <f>S12+(S12*'1.Premissas Receitas'!$B$19)</f>
        <v>0</v>
      </c>
      <c r="U12" s="60">
        <f>T12+(T12*'1.Premissas Receitas'!$B$19)</f>
        <v>0</v>
      </c>
      <c r="V12" s="60">
        <f>U12+(U12*'1.Premissas Receitas'!$B$19)</f>
        <v>0</v>
      </c>
      <c r="W12" s="60">
        <f>V12+(V12*'1.Premissas Receitas'!$B$19)</f>
        <v>0</v>
      </c>
      <c r="X12" s="60">
        <f>W12+(W12*'1.Premissas Receitas'!$B$19)</f>
        <v>0</v>
      </c>
      <c r="Y12" s="60">
        <f>X12+(X12*'1.Premissas Receitas'!$B$19)</f>
        <v>0</v>
      </c>
      <c r="Z12" s="60">
        <f>Y12+(Y12*'1.Premissas Receitas'!$B$19)</f>
        <v>0</v>
      </c>
      <c r="AA12" s="60">
        <f>Z12+(Z12*'1.Premissas Receitas'!$B$19)</f>
        <v>0</v>
      </c>
      <c r="AB12" s="60">
        <f>AA12+(AA12*'1.Premissas Receitas'!$B$19)</f>
        <v>0</v>
      </c>
      <c r="AC12" s="60">
        <f>AB12+(AB12*'1.Premissas Receitas'!$B$19)</f>
        <v>0</v>
      </c>
      <c r="AD12" s="60">
        <f>AC12+(AC12*'1.Premissas Receitas'!$B$19)</f>
        <v>0</v>
      </c>
      <c r="AE12" s="60">
        <f>AD12+(AD12*'1.Premissas Receitas'!$G$17)</f>
        <v>0</v>
      </c>
      <c r="AF12" s="60">
        <f>AE12+(AE12*'1.Premissas Receitas'!$B$19)</f>
        <v>0</v>
      </c>
      <c r="AG12" s="60">
        <f>AF12+(AF12*'1.Premissas Receitas'!$B$19)</f>
        <v>0</v>
      </c>
      <c r="AH12" s="60">
        <f>AG12+(AG12*'1.Premissas Receitas'!$B$19)</f>
        <v>0</v>
      </c>
      <c r="AI12" s="60">
        <f>AH12+(AH12*'1.Premissas Receitas'!$B$19)</f>
        <v>0</v>
      </c>
      <c r="AJ12" s="60">
        <f>AI12+(AI12*'1.Premissas Receitas'!$B$19)</f>
        <v>0</v>
      </c>
      <c r="AK12" s="60">
        <f>AJ12+(AJ12*'1.Premissas Receitas'!$B$19)</f>
        <v>0</v>
      </c>
      <c r="AL12" s="60">
        <f>AK12+(AK12*'1.Premissas Receitas'!$B$19)</f>
        <v>0</v>
      </c>
      <c r="AM12" s="60">
        <f>AL12+(AL12*'1.Premissas Receitas'!$B$19)</f>
        <v>0</v>
      </c>
      <c r="AN12" s="60">
        <f>AM12+(AM12*'1.Premissas Receitas'!$B$19)</f>
        <v>0</v>
      </c>
      <c r="AO12" s="60">
        <f>AN12+(AN12*'1.Premissas Receitas'!$B$19)</f>
        <v>0</v>
      </c>
      <c r="AP12" s="60">
        <f>AO12+(AO12*'1.Premissas Receitas'!$B$19)</f>
        <v>0</v>
      </c>
      <c r="AQ12" s="60">
        <f>AP12+(AP12*'1.Premissas Receitas'!$G$18)</f>
        <v>0</v>
      </c>
      <c r="AR12" s="60">
        <f>AQ12+(AQ12*'1.Premissas Receitas'!$B$19)</f>
        <v>0</v>
      </c>
      <c r="AS12" s="60">
        <f>AR12+(AR12*'1.Premissas Receitas'!$B$19)</f>
        <v>0</v>
      </c>
      <c r="AT12" s="60">
        <f>AS12+(AS12*'1.Premissas Receitas'!$B$19)</f>
        <v>0</v>
      </c>
      <c r="AU12" s="60">
        <f>AT12+(AT12*'1.Premissas Receitas'!$B$19)</f>
        <v>0</v>
      </c>
      <c r="AV12" s="60">
        <f>AU12+(AU12*'1.Premissas Receitas'!$B$19)</f>
        <v>0</v>
      </c>
      <c r="AW12" s="60">
        <f>AV12+(AV12*'1.Premissas Receitas'!$B$19)</f>
        <v>0</v>
      </c>
      <c r="AX12" s="60">
        <f>AW12+(AW12*'1.Premissas Receitas'!$B$19)</f>
        <v>0</v>
      </c>
      <c r="AY12" s="60">
        <f>AX12+(AX12*'1.Premissas Receitas'!$B$19)</f>
        <v>0</v>
      </c>
      <c r="AZ12" s="60">
        <f>AY12+(AY12*'1.Premissas Receitas'!$B$19)</f>
        <v>0</v>
      </c>
      <c r="BA12" s="60">
        <f>AZ12+(AZ12*'1.Premissas Receitas'!$B$19)</f>
        <v>0</v>
      </c>
      <c r="BB12" s="60">
        <f>BA12+(BA12*'1.Premissas Receitas'!$B$19)</f>
        <v>0</v>
      </c>
      <c r="BC12" s="60">
        <f>BB12+(BB12*'1.Premissas Receitas'!$G$19)</f>
        <v>0</v>
      </c>
      <c r="BD12" s="60">
        <f>BC12+(BC12*'1.Premissas Receitas'!$B$19)</f>
        <v>0</v>
      </c>
      <c r="BE12" s="60">
        <f>BD12+(BD12*'1.Premissas Receitas'!$B$19)</f>
        <v>0</v>
      </c>
      <c r="BF12" s="60">
        <f>BE12+(BE12*'1.Premissas Receitas'!$B$19)</f>
        <v>0</v>
      </c>
      <c r="BG12" s="60">
        <f>BF12+(BF12*'1.Premissas Receitas'!$B$19)</f>
        <v>0</v>
      </c>
      <c r="BH12" s="60">
        <f>BG12+(BG12*'1.Premissas Receitas'!$B$19)</f>
        <v>0</v>
      </c>
      <c r="BI12" s="60">
        <f>BH12+(BH12*'1.Premissas Receitas'!$B$19)</f>
        <v>0</v>
      </c>
      <c r="BJ12" s="60">
        <f>BI12+(BI12*'1.Premissas Receitas'!$B$19)</f>
        <v>0</v>
      </c>
      <c r="BK12" s="60">
        <f>BJ12+(BJ12*'1.Premissas Receitas'!$B$19)</f>
        <v>0</v>
      </c>
      <c r="BL12" s="60">
        <f>BK12+(BK12*'1.Premissas Receitas'!$B$19)</f>
        <v>0</v>
      </c>
      <c r="BM12" s="60">
        <f>BL12+(BL12*'1.Premissas Receitas'!$B$19)</f>
        <v>0</v>
      </c>
      <c r="BN12" s="60">
        <f>BM12+(BM12*'1.Premissas Receitas'!$B$19)</f>
        <v>0</v>
      </c>
      <c r="BO12" s="49"/>
      <c r="BP12" s="61">
        <f t="shared" si="2"/>
        <v>0</v>
      </c>
      <c r="BQ12" s="61">
        <f t="shared" si="3"/>
        <v>0</v>
      </c>
      <c r="BR12" s="61">
        <f t="shared" si="4"/>
        <v>0</v>
      </c>
      <c r="BS12" s="61">
        <f t="shared" si="5"/>
        <v>0</v>
      </c>
      <c r="BT12" s="61">
        <f t="shared" si="6"/>
        <v>0</v>
      </c>
    </row>
    <row r="13" spans="1:72" ht="15.75" customHeight="1" outlineLevel="1" x14ac:dyDescent="0.35">
      <c r="A13" s="20"/>
      <c r="B13" s="20"/>
      <c r="C13" s="20" t="str">
        <f>'1.Premissas Receitas'!A34</f>
        <v># de clientes marketplace % Comissão 2</v>
      </c>
      <c r="D13" s="20"/>
      <c r="E13" s="20"/>
      <c r="F13" s="20"/>
      <c r="G13" s="60">
        <f>'1.Premissas Receitas'!G34</f>
        <v>0</v>
      </c>
      <c r="H13" s="60">
        <f>G13+(G13*'1.Premissas Receitas'!$B$19)</f>
        <v>0</v>
      </c>
      <c r="I13" s="60">
        <f>H13+(H13*'1.Premissas Receitas'!$B$19)</f>
        <v>0</v>
      </c>
      <c r="J13" s="60">
        <f>I13+(I13*'1.Premissas Receitas'!$B$19)</f>
        <v>0</v>
      </c>
      <c r="K13" s="60">
        <f>J13+(J13*'1.Premissas Receitas'!$B$19)</f>
        <v>0</v>
      </c>
      <c r="L13" s="60">
        <f>K13+(K13*'1.Premissas Receitas'!$B$19)</f>
        <v>0</v>
      </c>
      <c r="M13" s="60">
        <f>L13+(L13*'1.Premissas Receitas'!$B$19)</f>
        <v>0</v>
      </c>
      <c r="N13" s="60">
        <f>M13+(M13*'1.Premissas Receitas'!$B$19)</f>
        <v>0</v>
      </c>
      <c r="O13" s="60">
        <f>N13+(N13*'1.Premissas Receitas'!$B$19)</f>
        <v>0</v>
      </c>
      <c r="P13" s="60">
        <f>O13+(O13*'1.Premissas Receitas'!$B$19)</f>
        <v>0</v>
      </c>
      <c r="Q13" s="60">
        <f>P13+(P13*'1.Premissas Receitas'!$B$19)</f>
        <v>0</v>
      </c>
      <c r="R13" s="60">
        <f>Q13+(Q13*'1.Premissas Receitas'!$B$19)</f>
        <v>0</v>
      </c>
      <c r="S13" s="60">
        <f>R13+(R13*'1.Premissas Receitas'!$G$16)</f>
        <v>0</v>
      </c>
      <c r="T13" s="60">
        <f>S13+(S13*'1.Premissas Receitas'!$B$19)</f>
        <v>0</v>
      </c>
      <c r="U13" s="60">
        <f>T13+(T13*'1.Premissas Receitas'!$B$19)</f>
        <v>0</v>
      </c>
      <c r="V13" s="60">
        <f>U13+(U13*'1.Premissas Receitas'!$B$19)</f>
        <v>0</v>
      </c>
      <c r="W13" s="60">
        <f>V13+(V13*'1.Premissas Receitas'!$B$19)</f>
        <v>0</v>
      </c>
      <c r="X13" s="60">
        <f>W13+(W13*'1.Premissas Receitas'!$B$19)</f>
        <v>0</v>
      </c>
      <c r="Y13" s="60">
        <f>X13+(X13*'1.Premissas Receitas'!$B$19)</f>
        <v>0</v>
      </c>
      <c r="Z13" s="60">
        <f>Y13+(Y13*'1.Premissas Receitas'!$B$19)</f>
        <v>0</v>
      </c>
      <c r="AA13" s="60">
        <f>Z13+(Z13*'1.Premissas Receitas'!$B$19)</f>
        <v>0</v>
      </c>
      <c r="AB13" s="60">
        <f>AA13+(AA13*'1.Premissas Receitas'!$B$19)</f>
        <v>0</v>
      </c>
      <c r="AC13" s="60">
        <f>AB13+(AB13*'1.Premissas Receitas'!$B$19)</f>
        <v>0</v>
      </c>
      <c r="AD13" s="60">
        <f>AC13+(AC13*'1.Premissas Receitas'!$B$19)</f>
        <v>0</v>
      </c>
      <c r="AE13" s="60">
        <f>AD13+(AD13*'1.Premissas Receitas'!$G$17)</f>
        <v>0</v>
      </c>
      <c r="AF13" s="60">
        <f>AE13+(AE13*'1.Premissas Receitas'!$B$19)</f>
        <v>0</v>
      </c>
      <c r="AG13" s="60">
        <f>AF13+(AF13*'1.Premissas Receitas'!$B$19)</f>
        <v>0</v>
      </c>
      <c r="AH13" s="60">
        <f>AG13+(AG13*'1.Premissas Receitas'!$B$19)</f>
        <v>0</v>
      </c>
      <c r="AI13" s="60">
        <f>AH13+(AH13*'1.Premissas Receitas'!$B$19)</f>
        <v>0</v>
      </c>
      <c r="AJ13" s="60">
        <f>AI13+(AI13*'1.Premissas Receitas'!$B$19)</f>
        <v>0</v>
      </c>
      <c r="AK13" s="60">
        <f>AJ13+(AJ13*'1.Premissas Receitas'!$B$19)</f>
        <v>0</v>
      </c>
      <c r="AL13" s="60">
        <f>AK13+(AK13*'1.Premissas Receitas'!$B$19)</f>
        <v>0</v>
      </c>
      <c r="AM13" s="60">
        <f>AL13+(AL13*'1.Premissas Receitas'!$B$19)</f>
        <v>0</v>
      </c>
      <c r="AN13" s="60">
        <f>AM13+(AM13*'1.Premissas Receitas'!$B$19)</f>
        <v>0</v>
      </c>
      <c r="AO13" s="60">
        <f>AN13+(AN13*'1.Premissas Receitas'!$B$19)</f>
        <v>0</v>
      </c>
      <c r="AP13" s="60">
        <f>AO13+(AO13*'1.Premissas Receitas'!$B$19)</f>
        <v>0</v>
      </c>
      <c r="AQ13" s="60">
        <f>AP13+(AP13*'1.Premissas Receitas'!$G$18)</f>
        <v>0</v>
      </c>
      <c r="AR13" s="60">
        <f>AQ13+(AQ13*'1.Premissas Receitas'!$B$19)</f>
        <v>0</v>
      </c>
      <c r="AS13" s="60">
        <f>AR13+(AR13*'1.Premissas Receitas'!$B$19)</f>
        <v>0</v>
      </c>
      <c r="AT13" s="60">
        <f>AS13+(AS13*'1.Premissas Receitas'!$B$19)</f>
        <v>0</v>
      </c>
      <c r="AU13" s="60">
        <f>AT13+(AT13*'1.Premissas Receitas'!$B$19)</f>
        <v>0</v>
      </c>
      <c r="AV13" s="60">
        <f>AU13+(AU13*'1.Premissas Receitas'!$B$19)</f>
        <v>0</v>
      </c>
      <c r="AW13" s="60">
        <f>AV13+(AV13*'1.Premissas Receitas'!$B$19)</f>
        <v>0</v>
      </c>
      <c r="AX13" s="60">
        <f>AW13+(AW13*'1.Premissas Receitas'!$B$19)</f>
        <v>0</v>
      </c>
      <c r="AY13" s="60">
        <f>AX13+(AX13*'1.Premissas Receitas'!$B$19)</f>
        <v>0</v>
      </c>
      <c r="AZ13" s="60">
        <f>AY13+(AY13*'1.Premissas Receitas'!$B$19)</f>
        <v>0</v>
      </c>
      <c r="BA13" s="60">
        <f>AZ13+(AZ13*'1.Premissas Receitas'!$B$19)</f>
        <v>0</v>
      </c>
      <c r="BB13" s="60">
        <f>BA13+(BA13*'1.Premissas Receitas'!$B$19)</f>
        <v>0</v>
      </c>
      <c r="BC13" s="60">
        <f>BB13+(BB13*'1.Premissas Receitas'!$G$19)</f>
        <v>0</v>
      </c>
      <c r="BD13" s="60">
        <f>BC13+(BC13*'1.Premissas Receitas'!$B$19)</f>
        <v>0</v>
      </c>
      <c r="BE13" s="60">
        <f>BD13+(BD13*'1.Premissas Receitas'!$B$19)</f>
        <v>0</v>
      </c>
      <c r="BF13" s="60">
        <f>BE13+(BE13*'1.Premissas Receitas'!$B$19)</f>
        <v>0</v>
      </c>
      <c r="BG13" s="60">
        <f>BF13+(BF13*'1.Premissas Receitas'!$B$19)</f>
        <v>0</v>
      </c>
      <c r="BH13" s="60">
        <f>BG13+(BG13*'1.Premissas Receitas'!$B$19)</f>
        <v>0</v>
      </c>
      <c r="BI13" s="60">
        <f>BH13+(BH13*'1.Premissas Receitas'!$B$19)</f>
        <v>0</v>
      </c>
      <c r="BJ13" s="60">
        <f>BI13+(BI13*'1.Premissas Receitas'!$B$19)</f>
        <v>0</v>
      </c>
      <c r="BK13" s="60">
        <f>BJ13+(BJ13*'1.Premissas Receitas'!$B$19)</f>
        <v>0</v>
      </c>
      <c r="BL13" s="60">
        <f>BK13+(BK13*'1.Premissas Receitas'!$B$19)</f>
        <v>0</v>
      </c>
      <c r="BM13" s="60">
        <f>BL13+(BL13*'1.Premissas Receitas'!$B$19)</f>
        <v>0</v>
      </c>
      <c r="BN13" s="60">
        <f>BM13+(BM13*'1.Premissas Receitas'!$B$19)</f>
        <v>0</v>
      </c>
      <c r="BO13" s="49"/>
      <c r="BP13" s="61">
        <f t="shared" si="2"/>
        <v>0</v>
      </c>
      <c r="BQ13" s="61">
        <f t="shared" si="3"/>
        <v>0</v>
      </c>
      <c r="BR13" s="61">
        <f t="shared" si="4"/>
        <v>0</v>
      </c>
      <c r="BS13" s="61">
        <f t="shared" si="5"/>
        <v>0</v>
      </c>
      <c r="BT13" s="61">
        <f t="shared" si="6"/>
        <v>0</v>
      </c>
    </row>
    <row r="14" spans="1:72" ht="15.75" customHeight="1" outlineLevel="1" x14ac:dyDescent="0.35">
      <c r="A14" s="20"/>
      <c r="B14" s="20"/>
      <c r="C14" s="20" t="str">
        <f>'1.Premissas Receitas'!A35</f>
        <v># de clientes marketplace % Comissão 3</v>
      </c>
      <c r="D14" s="20"/>
      <c r="E14" s="20"/>
      <c r="F14" s="20"/>
      <c r="G14" s="60">
        <f>'1.Premissas Receitas'!G35</f>
        <v>0</v>
      </c>
      <c r="H14" s="60">
        <f>G14+(G14*'1.Premissas Receitas'!$B$19)</f>
        <v>0</v>
      </c>
      <c r="I14" s="60">
        <f>H14+(H14*'1.Premissas Receitas'!$B$19)</f>
        <v>0</v>
      </c>
      <c r="J14" s="60">
        <f>I14+(I14*'1.Premissas Receitas'!$B$19)</f>
        <v>0</v>
      </c>
      <c r="K14" s="60">
        <f>J14+(J14*'1.Premissas Receitas'!$B$19)</f>
        <v>0</v>
      </c>
      <c r="L14" s="60">
        <f>K14+(K14*'1.Premissas Receitas'!$B$19)</f>
        <v>0</v>
      </c>
      <c r="M14" s="60">
        <f>L14+(L14*'1.Premissas Receitas'!$B$19)</f>
        <v>0</v>
      </c>
      <c r="N14" s="60">
        <f>M14+(M14*'1.Premissas Receitas'!$B$19)</f>
        <v>0</v>
      </c>
      <c r="O14" s="60">
        <f>N14+(N14*'1.Premissas Receitas'!$B$19)</f>
        <v>0</v>
      </c>
      <c r="P14" s="60">
        <f>O14+(O14*'1.Premissas Receitas'!$B$19)</f>
        <v>0</v>
      </c>
      <c r="Q14" s="60">
        <f>P14+(P14*'1.Premissas Receitas'!$B$19)</f>
        <v>0</v>
      </c>
      <c r="R14" s="60">
        <f>Q14+(Q14*'1.Premissas Receitas'!$B$19)</f>
        <v>0</v>
      </c>
      <c r="S14" s="60">
        <f>R14+(R14*'1.Premissas Receitas'!$G$16)</f>
        <v>0</v>
      </c>
      <c r="T14" s="60">
        <f>S14+(S14*'1.Premissas Receitas'!$B$19)</f>
        <v>0</v>
      </c>
      <c r="U14" s="60">
        <f>T14+(T14*'1.Premissas Receitas'!$B$19)</f>
        <v>0</v>
      </c>
      <c r="V14" s="60">
        <f>U14+(U14*'1.Premissas Receitas'!$B$19)</f>
        <v>0</v>
      </c>
      <c r="W14" s="60">
        <f>V14+(V14*'1.Premissas Receitas'!$B$19)</f>
        <v>0</v>
      </c>
      <c r="X14" s="60">
        <f>W14+(W14*'1.Premissas Receitas'!$B$19)</f>
        <v>0</v>
      </c>
      <c r="Y14" s="60">
        <f>X14+(X14*'1.Premissas Receitas'!$B$19)</f>
        <v>0</v>
      </c>
      <c r="Z14" s="60">
        <f>Y14+(Y14*'1.Premissas Receitas'!$B$19)</f>
        <v>0</v>
      </c>
      <c r="AA14" s="60">
        <f>Z14+(Z14*'1.Premissas Receitas'!$B$19)</f>
        <v>0</v>
      </c>
      <c r="AB14" s="60">
        <f>AA14+(AA14*'1.Premissas Receitas'!$B$19)</f>
        <v>0</v>
      </c>
      <c r="AC14" s="60">
        <f>AB14+(AB14*'1.Premissas Receitas'!$B$19)</f>
        <v>0</v>
      </c>
      <c r="AD14" s="60">
        <f>AC14+(AC14*'1.Premissas Receitas'!$B$19)</f>
        <v>0</v>
      </c>
      <c r="AE14" s="60">
        <f>AD14+(AD14*'1.Premissas Receitas'!$G$17)</f>
        <v>0</v>
      </c>
      <c r="AF14" s="60">
        <f>AE14+(AE14*'1.Premissas Receitas'!$B$19)</f>
        <v>0</v>
      </c>
      <c r="AG14" s="60">
        <f>AF14+(AF14*'1.Premissas Receitas'!$B$19)</f>
        <v>0</v>
      </c>
      <c r="AH14" s="60">
        <f>AG14+(AG14*'1.Premissas Receitas'!$B$19)</f>
        <v>0</v>
      </c>
      <c r="AI14" s="60">
        <f>AH14+(AH14*'1.Premissas Receitas'!$B$19)</f>
        <v>0</v>
      </c>
      <c r="AJ14" s="60">
        <f>AI14+(AI14*'1.Premissas Receitas'!$B$19)</f>
        <v>0</v>
      </c>
      <c r="AK14" s="60">
        <f>AJ14+(AJ14*'1.Premissas Receitas'!$B$19)</f>
        <v>0</v>
      </c>
      <c r="AL14" s="60">
        <f>AK14+(AK14*'1.Premissas Receitas'!$B$19)</f>
        <v>0</v>
      </c>
      <c r="AM14" s="60">
        <f>AL14+(AL14*'1.Premissas Receitas'!$B$19)</f>
        <v>0</v>
      </c>
      <c r="AN14" s="60">
        <f>AM14+(AM14*'1.Premissas Receitas'!$B$19)</f>
        <v>0</v>
      </c>
      <c r="AO14" s="60">
        <f>AN14+(AN14*'1.Premissas Receitas'!$B$19)</f>
        <v>0</v>
      </c>
      <c r="AP14" s="60">
        <f>AO14+(AO14*'1.Premissas Receitas'!$B$19)</f>
        <v>0</v>
      </c>
      <c r="AQ14" s="60">
        <f>AP14+(AP14*'1.Premissas Receitas'!$G$18)</f>
        <v>0</v>
      </c>
      <c r="AR14" s="60">
        <f>AQ14+(AQ14*'1.Premissas Receitas'!$B$19)</f>
        <v>0</v>
      </c>
      <c r="AS14" s="60">
        <f>AR14+(AR14*'1.Premissas Receitas'!$B$19)</f>
        <v>0</v>
      </c>
      <c r="AT14" s="60">
        <f>AS14+(AS14*'1.Premissas Receitas'!$B$19)</f>
        <v>0</v>
      </c>
      <c r="AU14" s="60">
        <f>AT14+(AT14*'1.Premissas Receitas'!$B$19)</f>
        <v>0</v>
      </c>
      <c r="AV14" s="60">
        <f>AU14+(AU14*'1.Premissas Receitas'!$B$19)</f>
        <v>0</v>
      </c>
      <c r="AW14" s="60">
        <f>AV14+(AV14*'1.Premissas Receitas'!$B$19)</f>
        <v>0</v>
      </c>
      <c r="AX14" s="60">
        <f>AW14+(AW14*'1.Premissas Receitas'!$B$19)</f>
        <v>0</v>
      </c>
      <c r="AY14" s="60">
        <f>AX14+(AX14*'1.Premissas Receitas'!$B$19)</f>
        <v>0</v>
      </c>
      <c r="AZ14" s="60">
        <f>AY14+(AY14*'1.Premissas Receitas'!$B$19)</f>
        <v>0</v>
      </c>
      <c r="BA14" s="60">
        <f>AZ14+(AZ14*'1.Premissas Receitas'!$B$19)</f>
        <v>0</v>
      </c>
      <c r="BB14" s="60">
        <f>BA14+(BA14*'1.Premissas Receitas'!$B$19)</f>
        <v>0</v>
      </c>
      <c r="BC14" s="60">
        <f>BB14+(BB14*'1.Premissas Receitas'!$G$19)</f>
        <v>0</v>
      </c>
      <c r="BD14" s="60">
        <f>BC14+(BC14*'1.Premissas Receitas'!$B$19)</f>
        <v>0</v>
      </c>
      <c r="BE14" s="60">
        <f>BD14+(BD14*'1.Premissas Receitas'!$B$19)</f>
        <v>0</v>
      </c>
      <c r="BF14" s="60">
        <f>BE14+(BE14*'1.Premissas Receitas'!$B$19)</f>
        <v>0</v>
      </c>
      <c r="BG14" s="60">
        <f>BF14+(BF14*'1.Premissas Receitas'!$B$19)</f>
        <v>0</v>
      </c>
      <c r="BH14" s="60">
        <f>BG14+(BG14*'1.Premissas Receitas'!$B$19)</f>
        <v>0</v>
      </c>
      <c r="BI14" s="60">
        <f>BH14+(BH14*'1.Premissas Receitas'!$B$19)</f>
        <v>0</v>
      </c>
      <c r="BJ14" s="60">
        <f>BI14+(BI14*'1.Premissas Receitas'!$B$19)</f>
        <v>0</v>
      </c>
      <c r="BK14" s="60">
        <f>BJ14+(BJ14*'1.Premissas Receitas'!$B$19)</f>
        <v>0</v>
      </c>
      <c r="BL14" s="60">
        <f>BK14+(BK14*'1.Premissas Receitas'!$B$19)</f>
        <v>0</v>
      </c>
      <c r="BM14" s="60">
        <f>BL14+(BL14*'1.Premissas Receitas'!$B$19)</f>
        <v>0</v>
      </c>
      <c r="BN14" s="60">
        <f>BM14+(BM14*'1.Premissas Receitas'!$B$19)</f>
        <v>0</v>
      </c>
      <c r="BO14" s="49"/>
      <c r="BP14" s="61">
        <f t="shared" si="2"/>
        <v>0</v>
      </c>
      <c r="BQ14" s="61">
        <f t="shared" si="3"/>
        <v>0</v>
      </c>
      <c r="BR14" s="61">
        <f t="shared" si="4"/>
        <v>0</v>
      </c>
      <c r="BS14" s="61">
        <f t="shared" si="5"/>
        <v>0</v>
      </c>
      <c r="BT14" s="61">
        <f t="shared" si="6"/>
        <v>0</v>
      </c>
    </row>
    <row r="15" spans="1:72" ht="15.75" customHeight="1" outlineLevel="1" x14ac:dyDescent="0.35">
      <c r="A15" s="20"/>
      <c r="B15" s="20"/>
      <c r="C15" s="20" t="str">
        <f>'1.Premissas Receitas'!A40</f>
        <v># de clientes B2B Setup</v>
      </c>
      <c r="D15" s="20"/>
      <c r="E15" s="20"/>
      <c r="F15" s="20"/>
      <c r="G15" s="60">
        <f>'1.Premissas Receitas'!G40</f>
        <v>1.3333333333333335</v>
      </c>
      <c r="H15" s="60">
        <f>G15+(G15*'1.Premissas Receitas'!$B$19)</f>
        <v>1.3733333333333335</v>
      </c>
      <c r="I15" s="60">
        <f>H15+(H15*'1.Premissas Receitas'!$B$19)</f>
        <v>1.4145333333333334</v>
      </c>
      <c r="J15" s="60">
        <f>I15+(I15*'1.Premissas Receitas'!$B$19)</f>
        <v>1.4569693333333333</v>
      </c>
      <c r="K15" s="60">
        <f>J15+(J15*'1.Premissas Receitas'!$B$19)</f>
        <v>1.5006784133333333</v>
      </c>
      <c r="L15" s="60">
        <f>K15+(K15*'1.Premissas Receitas'!$B$19)</f>
        <v>1.5456987657333332</v>
      </c>
      <c r="M15" s="60">
        <f>L15+(L15*'1.Premissas Receitas'!$B$19)</f>
        <v>1.5920697287053331</v>
      </c>
      <c r="N15" s="60">
        <f>M15+(M15*'1.Premissas Receitas'!$B$19)</f>
        <v>1.6398318205664932</v>
      </c>
      <c r="O15" s="60">
        <f>N15+(N15*'1.Premissas Receitas'!$B$19)</f>
        <v>1.689026775183488</v>
      </c>
      <c r="P15" s="60">
        <f>O15+(O15*'1.Premissas Receitas'!$B$19)</f>
        <v>1.7396975784389925</v>
      </c>
      <c r="Q15" s="60">
        <f>P15+(P15*'1.Premissas Receitas'!$B$19)</f>
        <v>1.7918885057921623</v>
      </c>
      <c r="R15" s="60">
        <f>Q15+(Q15*'1.Premissas Receitas'!$B$19)</f>
        <v>1.8456451609659272</v>
      </c>
      <c r="S15" s="60">
        <f>R15+(R15*'1.Premissas Receitas'!$G$16)</f>
        <v>2.583903225352298</v>
      </c>
      <c r="T15" s="60">
        <f>S15+(S15*'1.Premissas Receitas'!$B$19)</f>
        <v>2.6614203221128667</v>
      </c>
      <c r="U15" s="60">
        <f>T15+(T15*'1.Premissas Receitas'!$B$19)</f>
        <v>2.7412629317762529</v>
      </c>
      <c r="V15" s="60">
        <f>U15+(U15*'1.Premissas Receitas'!$B$19)</f>
        <v>2.8235008197295404</v>
      </c>
      <c r="W15" s="60">
        <f>V15+(V15*'1.Premissas Receitas'!$B$19)</f>
        <v>2.9082058443214267</v>
      </c>
      <c r="X15" s="60">
        <f>W15+(W15*'1.Premissas Receitas'!$B$19)</f>
        <v>2.9954520196510694</v>
      </c>
      <c r="Y15" s="60">
        <f>X15+(X15*'1.Premissas Receitas'!$B$19)</f>
        <v>3.0853155802406014</v>
      </c>
      <c r="Z15" s="60">
        <f>Y15+(Y15*'1.Premissas Receitas'!$B$19)</f>
        <v>3.1778750476478193</v>
      </c>
      <c r="AA15" s="60">
        <f>Z15+(Z15*'1.Premissas Receitas'!$B$19)</f>
        <v>3.2732112990772539</v>
      </c>
      <c r="AB15" s="60">
        <f>AA15+(AA15*'1.Premissas Receitas'!$B$19)</f>
        <v>3.3714076380495714</v>
      </c>
      <c r="AC15" s="60">
        <f>AB15+(AB15*'1.Premissas Receitas'!$B$19)</f>
        <v>3.4725498671910584</v>
      </c>
      <c r="AD15" s="60">
        <f>AC15+(AC15*'1.Premissas Receitas'!$B$19)</f>
        <v>3.5767263632067903</v>
      </c>
      <c r="AE15" s="60">
        <f>AD15+(AD15*'1.Premissas Receitas'!$G$17)</f>
        <v>4.6497442721688271</v>
      </c>
      <c r="AF15" s="60">
        <f>AE15+(AE15*'1.Premissas Receitas'!$B$19)</f>
        <v>4.7892366003338918</v>
      </c>
      <c r="AG15" s="60">
        <f>AF15+(AF15*'1.Premissas Receitas'!$B$19)</f>
        <v>4.9329136983439081</v>
      </c>
      <c r="AH15" s="60">
        <f>AG15+(AG15*'1.Premissas Receitas'!$B$19)</f>
        <v>5.0809011092942251</v>
      </c>
      <c r="AI15" s="60">
        <f>AH15+(AH15*'1.Premissas Receitas'!$B$19)</f>
        <v>5.2333281425730522</v>
      </c>
      <c r="AJ15" s="60">
        <f>AI15+(AI15*'1.Premissas Receitas'!$B$19)</f>
        <v>5.3903279868502434</v>
      </c>
      <c r="AK15" s="60">
        <f>AJ15+(AJ15*'1.Premissas Receitas'!$B$19)</f>
        <v>5.5520378264557504</v>
      </c>
      <c r="AL15" s="60">
        <f>AK15+(AK15*'1.Premissas Receitas'!$B$19)</f>
        <v>5.7185989612494232</v>
      </c>
      <c r="AM15" s="60">
        <f>AL15+(AL15*'1.Premissas Receitas'!$B$19)</f>
        <v>5.8901569300869063</v>
      </c>
      <c r="AN15" s="60">
        <f>AM15+(AM15*'1.Premissas Receitas'!$B$19)</f>
        <v>6.0668616379895131</v>
      </c>
      <c r="AO15" s="60">
        <f>AN15+(AN15*'1.Premissas Receitas'!$B$19)</f>
        <v>6.248867487129198</v>
      </c>
      <c r="AP15" s="60">
        <f>AO15+(AO15*'1.Premissas Receitas'!$B$19)</f>
        <v>6.436333511743074</v>
      </c>
      <c r="AQ15" s="60">
        <f>AP15+(AP15*'1.Premissas Receitas'!$G$18)</f>
        <v>7.7236002140916886</v>
      </c>
      <c r="AR15" s="60">
        <f>AQ15+(AQ15*'1.Premissas Receitas'!$B$19)</f>
        <v>7.9553082205144392</v>
      </c>
      <c r="AS15" s="60">
        <f>AR15+(AR15*'1.Premissas Receitas'!$B$19)</f>
        <v>8.1939674671298732</v>
      </c>
      <c r="AT15" s="60">
        <f>AS15+(AS15*'1.Premissas Receitas'!$B$19)</f>
        <v>8.439786491143769</v>
      </c>
      <c r="AU15" s="60">
        <f>AT15+(AT15*'1.Premissas Receitas'!$B$19)</f>
        <v>8.6929800858780819</v>
      </c>
      <c r="AV15" s="60">
        <f>AU15+(AU15*'1.Premissas Receitas'!$B$19)</f>
        <v>8.9537694884544248</v>
      </c>
      <c r="AW15" s="60">
        <f>AV15+(AV15*'1.Premissas Receitas'!$B$19)</f>
        <v>9.2223825731080566</v>
      </c>
      <c r="AX15" s="60">
        <f>AW15+(AW15*'1.Premissas Receitas'!$B$19)</f>
        <v>9.4990540503012983</v>
      </c>
      <c r="AY15" s="60">
        <f>AX15+(AX15*'1.Premissas Receitas'!$B$19)</f>
        <v>9.7840256718103369</v>
      </c>
      <c r="AZ15" s="60">
        <f>AY15+(AY15*'1.Premissas Receitas'!$B$19)</f>
        <v>10.077546441964646</v>
      </c>
      <c r="BA15" s="60">
        <f>AZ15+(AZ15*'1.Premissas Receitas'!$B$19)</f>
        <v>10.379872835223585</v>
      </c>
      <c r="BB15" s="60">
        <f>BA15+(BA15*'1.Premissas Receitas'!$B$19)</f>
        <v>10.691269020280293</v>
      </c>
      <c r="BC15" s="60">
        <f>BB15+(BB15*'1.Premissas Receitas'!$G$19)</f>
        <v>12.294959373322337</v>
      </c>
      <c r="BD15" s="60">
        <f>BC15+(BC15*'1.Premissas Receitas'!$B$19)</f>
        <v>12.663808154522007</v>
      </c>
      <c r="BE15" s="60">
        <f>BD15+(BD15*'1.Premissas Receitas'!$B$19)</f>
        <v>13.043722399157668</v>
      </c>
      <c r="BF15" s="60">
        <f>BE15+(BE15*'1.Premissas Receitas'!$B$19)</f>
        <v>13.435034071132398</v>
      </c>
      <c r="BG15" s="60">
        <f>BF15+(BF15*'1.Premissas Receitas'!$B$19)</f>
        <v>13.83808509326637</v>
      </c>
      <c r="BH15" s="60">
        <f>BG15+(BG15*'1.Premissas Receitas'!$B$19)</f>
        <v>14.253227646064362</v>
      </c>
      <c r="BI15" s="60">
        <f>BH15+(BH15*'1.Premissas Receitas'!$B$19)</f>
        <v>14.680824475446293</v>
      </c>
      <c r="BJ15" s="60">
        <f>BI15+(BI15*'1.Premissas Receitas'!$B$19)</f>
        <v>15.121249209709681</v>
      </c>
      <c r="BK15" s="60">
        <f>BJ15+(BJ15*'1.Premissas Receitas'!$B$19)</f>
        <v>15.574886686000971</v>
      </c>
      <c r="BL15" s="60">
        <f>BK15+(BK15*'1.Premissas Receitas'!$B$19)</f>
        <v>16.042133286580999</v>
      </c>
      <c r="BM15" s="60">
        <f>BL15+(BL15*'1.Premissas Receitas'!$B$19)</f>
        <v>16.523397285178429</v>
      </c>
      <c r="BN15" s="60">
        <f>BM15+(BM15*'1.Premissas Receitas'!$B$19)</f>
        <v>17.019099203733781</v>
      </c>
      <c r="BO15" s="49"/>
      <c r="BP15" s="61">
        <f t="shared" si="2"/>
        <v>18.922706082052397</v>
      </c>
      <c r="BQ15" s="61">
        <f t="shared" si="3"/>
        <v>34.086927733004252</v>
      </c>
      <c r="BR15" s="61">
        <f t="shared" si="4"/>
        <v>65.989308164218002</v>
      </c>
      <c r="BS15" s="61">
        <f t="shared" si="5"/>
        <v>109.61356255990049</v>
      </c>
      <c r="BT15" s="61">
        <f t="shared" si="6"/>
        <v>174.49042688411529</v>
      </c>
    </row>
    <row r="16" spans="1:72" ht="15.75" customHeight="1" outlineLevel="1" x14ac:dyDescent="0.35">
      <c r="A16" s="20"/>
      <c r="B16" s="20"/>
      <c r="C16" s="20" t="str">
        <f>'1.Premissas Receitas'!A41</f>
        <v># de clientes B2B Mensalidade</v>
      </c>
      <c r="D16" s="20"/>
      <c r="E16" s="20"/>
      <c r="F16" s="20"/>
      <c r="G16" s="60">
        <f>'1.Premissas Receitas'!G41</f>
        <v>1.3333333333333335</v>
      </c>
      <c r="H16" s="60">
        <f>G16+(G16*'1.Premissas Receitas'!$B$19)</f>
        <v>1.3733333333333335</v>
      </c>
      <c r="I16" s="60">
        <f>H16+(H16*'1.Premissas Receitas'!$B$19)</f>
        <v>1.4145333333333334</v>
      </c>
      <c r="J16" s="60">
        <f>I16+(I16*'1.Premissas Receitas'!$B$19)</f>
        <v>1.4569693333333333</v>
      </c>
      <c r="K16" s="60">
        <f>J16+(J16*'1.Premissas Receitas'!$B$19)</f>
        <v>1.5006784133333333</v>
      </c>
      <c r="L16" s="60">
        <f>K16+(K16*'1.Premissas Receitas'!$B$19)</f>
        <v>1.5456987657333332</v>
      </c>
      <c r="M16" s="60">
        <f>L16+(L16*'1.Premissas Receitas'!$B$19)</f>
        <v>1.5920697287053331</v>
      </c>
      <c r="N16" s="60">
        <f>M16+(M16*'1.Premissas Receitas'!$B$19)</f>
        <v>1.6398318205664932</v>
      </c>
      <c r="O16" s="60">
        <f>N16+(N16*'1.Premissas Receitas'!$B$19)</f>
        <v>1.689026775183488</v>
      </c>
      <c r="P16" s="60">
        <f>O16+(O16*'1.Premissas Receitas'!$B$19)</f>
        <v>1.7396975784389925</v>
      </c>
      <c r="Q16" s="60">
        <f>P16+(P16*'1.Premissas Receitas'!$B$19)</f>
        <v>1.7918885057921623</v>
      </c>
      <c r="R16" s="60">
        <f>Q16+(Q16*'1.Premissas Receitas'!$B$19)</f>
        <v>1.8456451609659272</v>
      </c>
      <c r="S16" s="60">
        <f>R16+(R16*'1.Premissas Receitas'!$G$16)</f>
        <v>2.583903225352298</v>
      </c>
      <c r="T16" s="60">
        <f>S16+(S16*'1.Premissas Receitas'!$B$19)</f>
        <v>2.6614203221128667</v>
      </c>
      <c r="U16" s="60">
        <f>T16+(T16*'1.Premissas Receitas'!$B$19)</f>
        <v>2.7412629317762529</v>
      </c>
      <c r="V16" s="60">
        <f>U16+(U16*'1.Premissas Receitas'!$B$19)</f>
        <v>2.8235008197295404</v>
      </c>
      <c r="W16" s="60">
        <f>V16+(V16*'1.Premissas Receitas'!$B$19)</f>
        <v>2.9082058443214267</v>
      </c>
      <c r="X16" s="60">
        <f>W16+(W16*'1.Premissas Receitas'!$B$19)</f>
        <v>2.9954520196510694</v>
      </c>
      <c r="Y16" s="60">
        <f>X16+(X16*'1.Premissas Receitas'!$B$19)</f>
        <v>3.0853155802406014</v>
      </c>
      <c r="Z16" s="60">
        <f>Y16+(Y16*'1.Premissas Receitas'!$B$19)</f>
        <v>3.1778750476478193</v>
      </c>
      <c r="AA16" s="60">
        <f>Z16+(Z16*'1.Premissas Receitas'!$B$19)</f>
        <v>3.2732112990772539</v>
      </c>
      <c r="AB16" s="60">
        <f>AA16+(AA16*'1.Premissas Receitas'!$B$19)</f>
        <v>3.3714076380495714</v>
      </c>
      <c r="AC16" s="60">
        <f>AB16+(AB16*'1.Premissas Receitas'!$B$19)</f>
        <v>3.4725498671910584</v>
      </c>
      <c r="AD16" s="60">
        <f>AC16+(AC16*'1.Premissas Receitas'!$B$19)</f>
        <v>3.5767263632067903</v>
      </c>
      <c r="AE16" s="60">
        <f>AD16+(AD16*'1.Premissas Receitas'!$G$17)</f>
        <v>4.6497442721688271</v>
      </c>
      <c r="AF16" s="60">
        <f>AE16+(AE16*'1.Premissas Receitas'!$B$19)</f>
        <v>4.7892366003338918</v>
      </c>
      <c r="AG16" s="60">
        <f>AF16+(AF16*'1.Premissas Receitas'!$B$19)</f>
        <v>4.9329136983439081</v>
      </c>
      <c r="AH16" s="60">
        <f>AG16+(AG16*'1.Premissas Receitas'!$B$19)</f>
        <v>5.0809011092942251</v>
      </c>
      <c r="AI16" s="60">
        <f>AH16+(AH16*'1.Premissas Receitas'!$B$19)</f>
        <v>5.2333281425730522</v>
      </c>
      <c r="AJ16" s="60">
        <f>AI16+(AI16*'1.Premissas Receitas'!$B$19)</f>
        <v>5.3903279868502434</v>
      </c>
      <c r="AK16" s="60">
        <f>AJ16+(AJ16*'1.Premissas Receitas'!$B$19)</f>
        <v>5.5520378264557504</v>
      </c>
      <c r="AL16" s="60">
        <f>AK16+(AK16*'1.Premissas Receitas'!$B$19)</f>
        <v>5.7185989612494232</v>
      </c>
      <c r="AM16" s="60">
        <f>AL16+(AL16*'1.Premissas Receitas'!$B$19)</f>
        <v>5.8901569300869063</v>
      </c>
      <c r="AN16" s="60">
        <f>AM16+(AM16*'1.Premissas Receitas'!$B$19)</f>
        <v>6.0668616379895131</v>
      </c>
      <c r="AO16" s="60">
        <f>AN16+(AN16*'1.Premissas Receitas'!$B$19)</f>
        <v>6.248867487129198</v>
      </c>
      <c r="AP16" s="60">
        <f>AO16+(AO16*'1.Premissas Receitas'!$B$19)</f>
        <v>6.436333511743074</v>
      </c>
      <c r="AQ16" s="60">
        <f>AP16+(AP16*'1.Premissas Receitas'!$G$18)</f>
        <v>7.7236002140916886</v>
      </c>
      <c r="AR16" s="60">
        <f>AQ16+(AQ16*'1.Premissas Receitas'!$B$19)</f>
        <v>7.9553082205144392</v>
      </c>
      <c r="AS16" s="60">
        <f>AR16+(AR16*'1.Premissas Receitas'!$B$19)</f>
        <v>8.1939674671298732</v>
      </c>
      <c r="AT16" s="60">
        <f>AS16+(AS16*'1.Premissas Receitas'!$B$19)</f>
        <v>8.439786491143769</v>
      </c>
      <c r="AU16" s="60">
        <f>AT16+(AT16*'1.Premissas Receitas'!$B$19)</f>
        <v>8.6929800858780819</v>
      </c>
      <c r="AV16" s="60">
        <f>AU16+(AU16*'1.Premissas Receitas'!$B$19)</f>
        <v>8.9537694884544248</v>
      </c>
      <c r="AW16" s="60">
        <f>AV16+(AV16*'1.Premissas Receitas'!$B$19)</f>
        <v>9.2223825731080566</v>
      </c>
      <c r="AX16" s="60">
        <f>AW16+(AW16*'1.Premissas Receitas'!$B$19)</f>
        <v>9.4990540503012983</v>
      </c>
      <c r="AY16" s="60">
        <f>AX16+(AX16*'1.Premissas Receitas'!$B$19)</f>
        <v>9.7840256718103369</v>
      </c>
      <c r="AZ16" s="60">
        <f>AY16+(AY16*'1.Premissas Receitas'!$B$19)</f>
        <v>10.077546441964646</v>
      </c>
      <c r="BA16" s="60">
        <f>AZ16+(AZ16*'1.Premissas Receitas'!$B$19)</f>
        <v>10.379872835223585</v>
      </c>
      <c r="BB16" s="60">
        <f>BA16+(BA16*'1.Premissas Receitas'!$B$19)</f>
        <v>10.691269020280293</v>
      </c>
      <c r="BC16" s="60">
        <f>BB16+(BB16*'1.Premissas Receitas'!$G$19)</f>
        <v>12.294959373322337</v>
      </c>
      <c r="BD16" s="60">
        <f>BC16+(BC16*'1.Premissas Receitas'!$B$19)</f>
        <v>12.663808154522007</v>
      </c>
      <c r="BE16" s="60">
        <f>BD16+(BD16*'1.Premissas Receitas'!$B$19)</f>
        <v>13.043722399157668</v>
      </c>
      <c r="BF16" s="60">
        <f>BE16+(BE16*'1.Premissas Receitas'!$B$19)</f>
        <v>13.435034071132398</v>
      </c>
      <c r="BG16" s="60">
        <f>BF16+(BF16*'1.Premissas Receitas'!$B$19)</f>
        <v>13.83808509326637</v>
      </c>
      <c r="BH16" s="60">
        <f>BG16+(BG16*'1.Premissas Receitas'!$B$19)</f>
        <v>14.253227646064362</v>
      </c>
      <c r="BI16" s="60">
        <f>BH16+(BH16*'1.Premissas Receitas'!$B$19)</f>
        <v>14.680824475446293</v>
      </c>
      <c r="BJ16" s="60">
        <f>BI16+(BI16*'1.Premissas Receitas'!$B$19)</f>
        <v>15.121249209709681</v>
      </c>
      <c r="BK16" s="60">
        <f>BJ16+(BJ16*'1.Premissas Receitas'!$B$19)</f>
        <v>15.574886686000971</v>
      </c>
      <c r="BL16" s="60">
        <f>BK16+(BK16*'1.Premissas Receitas'!$B$19)</f>
        <v>16.042133286580999</v>
      </c>
      <c r="BM16" s="60">
        <f>BL16+(BL16*'1.Premissas Receitas'!$B$19)</f>
        <v>16.523397285178429</v>
      </c>
      <c r="BN16" s="60">
        <f>BM16+(BM16*'1.Premissas Receitas'!$B$19)</f>
        <v>17.019099203733781</v>
      </c>
      <c r="BO16" s="49"/>
      <c r="BP16" s="61">
        <f t="shared" si="2"/>
        <v>18.922706082052397</v>
      </c>
      <c r="BQ16" s="61">
        <f t="shared" si="3"/>
        <v>34.086927733004252</v>
      </c>
      <c r="BR16" s="61">
        <f t="shared" si="4"/>
        <v>65.989308164218002</v>
      </c>
      <c r="BS16" s="61">
        <f t="shared" si="5"/>
        <v>109.61356255990049</v>
      </c>
      <c r="BT16" s="61">
        <f t="shared" si="6"/>
        <v>174.49042688411529</v>
      </c>
    </row>
    <row r="17" spans="1:72" ht="15.75" customHeight="1" outlineLevel="1" x14ac:dyDescent="0.35">
      <c r="A17" s="20"/>
      <c r="B17" s="20"/>
      <c r="C17" s="20" t="str">
        <f>'1.Premissas Receitas'!A42</f>
        <v># de clientes B2B Manutenção</v>
      </c>
      <c r="D17" s="20"/>
      <c r="E17" s="20"/>
      <c r="F17" s="20"/>
      <c r="G17" s="60">
        <f>'1.Premissas Receitas'!G42</f>
        <v>0</v>
      </c>
      <c r="H17" s="60">
        <f>G17+(G17*'1.Premissas Receitas'!$B$19)</f>
        <v>0</v>
      </c>
      <c r="I17" s="60">
        <f>H17+(H17*'1.Premissas Receitas'!$B$19)</f>
        <v>0</v>
      </c>
      <c r="J17" s="60">
        <f>I17+(I17*'1.Premissas Receitas'!$B$19)</f>
        <v>0</v>
      </c>
      <c r="K17" s="60">
        <f>J17+(J17*'1.Premissas Receitas'!$B$19)</f>
        <v>0</v>
      </c>
      <c r="L17" s="60">
        <f>K17+(K17*'1.Premissas Receitas'!$B$19)</f>
        <v>0</v>
      </c>
      <c r="M17" s="60">
        <f>L17+(L17*'1.Premissas Receitas'!$B$19)</f>
        <v>0</v>
      </c>
      <c r="N17" s="60">
        <f>M17+(M17*'1.Premissas Receitas'!$B$19)</f>
        <v>0</v>
      </c>
      <c r="O17" s="60">
        <f>N17+(N17*'1.Premissas Receitas'!$B$19)</f>
        <v>0</v>
      </c>
      <c r="P17" s="60">
        <f>O17+(O17*'1.Premissas Receitas'!$B$19)</f>
        <v>0</v>
      </c>
      <c r="Q17" s="60">
        <f>P17+(P17*'1.Premissas Receitas'!$B$19)</f>
        <v>0</v>
      </c>
      <c r="R17" s="60">
        <f>Q17+(Q17*'1.Premissas Receitas'!$B$19)</f>
        <v>0</v>
      </c>
      <c r="S17" s="60">
        <f>R17+(R17*'1.Premissas Receitas'!$G$16)</f>
        <v>0</v>
      </c>
      <c r="T17" s="60">
        <f>S17+(S17*'1.Premissas Receitas'!$B$19)</f>
        <v>0</v>
      </c>
      <c r="U17" s="60">
        <f>T17+(T17*'1.Premissas Receitas'!$B$19)</f>
        <v>0</v>
      </c>
      <c r="V17" s="60">
        <f>U17+(U17*'1.Premissas Receitas'!$B$19)</f>
        <v>0</v>
      </c>
      <c r="W17" s="60">
        <f>V17+(V17*'1.Premissas Receitas'!$B$19)</f>
        <v>0</v>
      </c>
      <c r="X17" s="60">
        <f>W17+(W17*'1.Premissas Receitas'!$B$19)</f>
        <v>0</v>
      </c>
      <c r="Y17" s="60">
        <f>X17+(X17*'1.Premissas Receitas'!$B$19)</f>
        <v>0</v>
      </c>
      <c r="Z17" s="60">
        <f>Y17+(Y17*'1.Premissas Receitas'!$B$19)</f>
        <v>0</v>
      </c>
      <c r="AA17" s="60">
        <f>Z17+(Z17*'1.Premissas Receitas'!$B$19)</f>
        <v>0</v>
      </c>
      <c r="AB17" s="60">
        <f>AA17+(AA17*'1.Premissas Receitas'!$B$19)</f>
        <v>0</v>
      </c>
      <c r="AC17" s="60">
        <f>AB17+(AB17*'1.Premissas Receitas'!$B$19)</f>
        <v>0</v>
      </c>
      <c r="AD17" s="60">
        <f>AC17+(AC17*'1.Premissas Receitas'!$B$19)</f>
        <v>0</v>
      </c>
      <c r="AE17" s="60">
        <f>AD17+(AD17*'1.Premissas Receitas'!$G$17)</f>
        <v>0</v>
      </c>
      <c r="AF17" s="60">
        <f>AE17+(AE17*'1.Premissas Receitas'!$B$19)</f>
        <v>0</v>
      </c>
      <c r="AG17" s="60">
        <f>AF17+(AF17*'1.Premissas Receitas'!$B$19)</f>
        <v>0</v>
      </c>
      <c r="AH17" s="60">
        <f>AG17+(AG17*'1.Premissas Receitas'!$B$19)</f>
        <v>0</v>
      </c>
      <c r="AI17" s="60">
        <f>AH17+(AH17*'1.Premissas Receitas'!$B$19)</f>
        <v>0</v>
      </c>
      <c r="AJ17" s="60">
        <f>AI17+(AI17*'1.Premissas Receitas'!$B$19)</f>
        <v>0</v>
      </c>
      <c r="AK17" s="60">
        <f>AJ17+(AJ17*'1.Premissas Receitas'!$B$19)</f>
        <v>0</v>
      </c>
      <c r="AL17" s="60">
        <f>AK17+(AK17*'1.Premissas Receitas'!$B$19)</f>
        <v>0</v>
      </c>
      <c r="AM17" s="60">
        <f>AL17+(AL17*'1.Premissas Receitas'!$B$19)</f>
        <v>0</v>
      </c>
      <c r="AN17" s="60">
        <f>AM17+(AM17*'1.Premissas Receitas'!$B$19)</f>
        <v>0</v>
      </c>
      <c r="AO17" s="60">
        <f>AN17+(AN17*'1.Premissas Receitas'!$B$19)</f>
        <v>0</v>
      </c>
      <c r="AP17" s="60">
        <f>AO17+(AO17*'1.Premissas Receitas'!$B$19)</f>
        <v>0</v>
      </c>
      <c r="AQ17" s="60">
        <f>AP17+(AP17*'1.Premissas Receitas'!$G$18)</f>
        <v>0</v>
      </c>
      <c r="AR17" s="60">
        <f>AQ17+(AQ17*'1.Premissas Receitas'!$B$19)</f>
        <v>0</v>
      </c>
      <c r="AS17" s="60">
        <f>AR17+(AR17*'1.Premissas Receitas'!$B$19)</f>
        <v>0</v>
      </c>
      <c r="AT17" s="60">
        <f>AS17+(AS17*'1.Premissas Receitas'!$B$19)</f>
        <v>0</v>
      </c>
      <c r="AU17" s="60">
        <f>AT17+(AT17*'1.Premissas Receitas'!$B$19)</f>
        <v>0</v>
      </c>
      <c r="AV17" s="60">
        <f>AU17+(AU17*'1.Premissas Receitas'!$B$19)</f>
        <v>0</v>
      </c>
      <c r="AW17" s="60">
        <f>AV17+(AV17*'1.Premissas Receitas'!$B$19)</f>
        <v>0</v>
      </c>
      <c r="AX17" s="60">
        <f>AW17+(AW17*'1.Premissas Receitas'!$B$19)</f>
        <v>0</v>
      </c>
      <c r="AY17" s="60">
        <f>AX17+(AX17*'1.Premissas Receitas'!$B$19)</f>
        <v>0</v>
      </c>
      <c r="AZ17" s="60">
        <f>AY17+(AY17*'1.Premissas Receitas'!$B$19)</f>
        <v>0</v>
      </c>
      <c r="BA17" s="60">
        <f>AZ17+(AZ17*'1.Premissas Receitas'!$B$19)</f>
        <v>0</v>
      </c>
      <c r="BB17" s="60">
        <f>BA17+(BA17*'1.Premissas Receitas'!$B$19)</f>
        <v>0</v>
      </c>
      <c r="BC17" s="60">
        <f>BB17+(BB17*'1.Premissas Receitas'!$G$19)</f>
        <v>0</v>
      </c>
      <c r="BD17" s="60">
        <f>BC17+(BC17*'1.Premissas Receitas'!$B$19)</f>
        <v>0</v>
      </c>
      <c r="BE17" s="60">
        <f>BD17+(BD17*'1.Premissas Receitas'!$B$19)</f>
        <v>0</v>
      </c>
      <c r="BF17" s="60">
        <f>BE17+(BE17*'1.Premissas Receitas'!$B$19)</f>
        <v>0</v>
      </c>
      <c r="BG17" s="60">
        <f>BF17+(BF17*'1.Premissas Receitas'!$B$19)</f>
        <v>0</v>
      </c>
      <c r="BH17" s="60">
        <f>BG17+(BG17*'1.Premissas Receitas'!$B$19)</f>
        <v>0</v>
      </c>
      <c r="BI17" s="60">
        <f>BH17+(BH17*'1.Premissas Receitas'!$B$19)</f>
        <v>0</v>
      </c>
      <c r="BJ17" s="60">
        <f>BI17+(BI17*'1.Premissas Receitas'!$B$19)</f>
        <v>0</v>
      </c>
      <c r="BK17" s="60">
        <f>BJ17+(BJ17*'1.Premissas Receitas'!$B$19)</f>
        <v>0</v>
      </c>
      <c r="BL17" s="60">
        <f>BK17+(BK17*'1.Premissas Receitas'!$B$19)</f>
        <v>0</v>
      </c>
      <c r="BM17" s="60">
        <f>BL17+(BL17*'1.Premissas Receitas'!$B$19)</f>
        <v>0</v>
      </c>
      <c r="BN17" s="60">
        <f>BM17+(BM17*'1.Premissas Receitas'!$B$19)</f>
        <v>0</v>
      </c>
      <c r="BO17" s="49"/>
      <c r="BP17" s="61">
        <f t="shared" si="2"/>
        <v>0</v>
      </c>
      <c r="BQ17" s="61">
        <f t="shared" si="3"/>
        <v>0</v>
      </c>
      <c r="BR17" s="61">
        <f t="shared" si="4"/>
        <v>0</v>
      </c>
      <c r="BS17" s="61">
        <f t="shared" si="5"/>
        <v>0</v>
      </c>
      <c r="BT17" s="61">
        <f t="shared" si="6"/>
        <v>0</v>
      </c>
    </row>
    <row r="18" spans="1:72" ht="15.75" customHeight="1" outlineLevel="1" x14ac:dyDescent="0.35">
      <c r="A18" s="20"/>
      <c r="B18" s="20"/>
      <c r="C18" s="62" t="str">
        <f>'1.Premissas Receitas'!A48</f>
        <v># de clientes Conteudo/ Paywall 1</v>
      </c>
      <c r="D18" s="20"/>
      <c r="E18" s="20"/>
      <c r="F18" s="20"/>
      <c r="G18" s="63">
        <f>'1.Premissas Receitas'!G48</f>
        <v>0</v>
      </c>
      <c r="H18" s="63">
        <f>G18+(G18*'1.Premissas Receitas'!$B$19)</f>
        <v>0</v>
      </c>
      <c r="I18" s="63">
        <f>H18+(H18*'1.Premissas Receitas'!$B$19)</f>
        <v>0</v>
      </c>
      <c r="J18" s="63">
        <f>I18+(I18*'1.Premissas Receitas'!$B$19)</f>
        <v>0</v>
      </c>
      <c r="K18" s="63">
        <f>J18+(J18*'1.Premissas Receitas'!$B$19)</f>
        <v>0</v>
      </c>
      <c r="L18" s="63">
        <f>K18+(K18*'1.Premissas Receitas'!$B$19)</f>
        <v>0</v>
      </c>
      <c r="M18" s="63">
        <f>L18+(L18*'1.Premissas Receitas'!$B$19)</f>
        <v>0</v>
      </c>
      <c r="N18" s="63">
        <f>M18+(M18*'1.Premissas Receitas'!$B$19)</f>
        <v>0</v>
      </c>
      <c r="O18" s="63">
        <f>N18+(N18*'1.Premissas Receitas'!$B$19)</f>
        <v>0</v>
      </c>
      <c r="P18" s="63">
        <f>O18+(O18*'1.Premissas Receitas'!$B$19)</f>
        <v>0</v>
      </c>
      <c r="Q18" s="63">
        <f>P18+(P18*'1.Premissas Receitas'!$B$19)</f>
        <v>0</v>
      </c>
      <c r="R18" s="63">
        <f>Q18+(Q18*'1.Premissas Receitas'!$B$19)</f>
        <v>0</v>
      </c>
      <c r="S18" s="63">
        <f>R18+(R18*'1.Premissas Receitas'!$G$16)</f>
        <v>0</v>
      </c>
      <c r="T18" s="63">
        <f>S18+(S18*'1.Premissas Receitas'!$B$19)</f>
        <v>0</v>
      </c>
      <c r="U18" s="63">
        <f>T18+(T18*'1.Premissas Receitas'!$B$19)</f>
        <v>0</v>
      </c>
      <c r="V18" s="63">
        <f>U18+(U18*'1.Premissas Receitas'!$B$19)</f>
        <v>0</v>
      </c>
      <c r="W18" s="63">
        <f>V18+(V18*'1.Premissas Receitas'!$B$19)</f>
        <v>0</v>
      </c>
      <c r="X18" s="63">
        <f>W18+(W18*'1.Premissas Receitas'!$B$19)</f>
        <v>0</v>
      </c>
      <c r="Y18" s="63">
        <f>X18+(X18*'1.Premissas Receitas'!$B$19)</f>
        <v>0</v>
      </c>
      <c r="Z18" s="63">
        <f>Y18+(Y18*'1.Premissas Receitas'!$B$19)</f>
        <v>0</v>
      </c>
      <c r="AA18" s="63">
        <f>Z18+(Z18*'1.Premissas Receitas'!$B$19)</f>
        <v>0</v>
      </c>
      <c r="AB18" s="63">
        <f>AA18+(AA18*'1.Premissas Receitas'!$B$19)</f>
        <v>0</v>
      </c>
      <c r="AC18" s="63">
        <f>AB18+(AB18*'1.Premissas Receitas'!$B$19)</f>
        <v>0</v>
      </c>
      <c r="AD18" s="63">
        <f>AC18+(AC18*'1.Premissas Receitas'!$B$19)</f>
        <v>0</v>
      </c>
      <c r="AE18" s="63">
        <f>AD18+(AD18*'1.Premissas Receitas'!$G$17)</f>
        <v>0</v>
      </c>
      <c r="AF18" s="63">
        <f>AE18+(AE18*'1.Premissas Receitas'!$B$19)</f>
        <v>0</v>
      </c>
      <c r="AG18" s="63">
        <f>AF18+(AF18*'1.Premissas Receitas'!$B$19)</f>
        <v>0</v>
      </c>
      <c r="AH18" s="63">
        <f>AG18+(AG18*'1.Premissas Receitas'!$B$19)</f>
        <v>0</v>
      </c>
      <c r="AI18" s="63">
        <f>AH18+(AH18*'1.Premissas Receitas'!$B$19)</f>
        <v>0</v>
      </c>
      <c r="AJ18" s="63">
        <f>AI18+(AI18*'1.Premissas Receitas'!$B$19)</f>
        <v>0</v>
      </c>
      <c r="AK18" s="63">
        <f>AJ18+(AJ18*'1.Premissas Receitas'!$B$19)</f>
        <v>0</v>
      </c>
      <c r="AL18" s="63">
        <f>AK18+(AK18*'1.Premissas Receitas'!$B$19)</f>
        <v>0</v>
      </c>
      <c r="AM18" s="63">
        <f>AL18+(AL18*'1.Premissas Receitas'!$B$19)</f>
        <v>0</v>
      </c>
      <c r="AN18" s="63">
        <f>AM18+(AM18*'1.Premissas Receitas'!$B$19)</f>
        <v>0</v>
      </c>
      <c r="AO18" s="63">
        <f>AN18+(AN18*'1.Premissas Receitas'!$B$19)</f>
        <v>0</v>
      </c>
      <c r="AP18" s="63">
        <f>AO18+(AO18*'1.Premissas Receitas'!$B$19)</f>
        <v>0</v>
      </c>
      <c r="AQ18" s="63">
        <f>AP18+(AP18*'1.Premissas Receitas'!$G$18)</f>
        <v>0</v>
      </c>
      <c r="AR18" s="63">
        <f>AQ18+(AQ18*'1.Premissas Receitas'!$B$19)</f>
        <v>0</v>
      </c>
      <c r="AS18" s="63">
        <f>AR18+(AR18*'1.Premissas Receitas'!$B$19)</f>
        <v>0</v>
      </c>
      <c r="AT18" s="63">
        <f>AS18+(AS18*'1.Premissas Receitas'!$B$19)</f>
        <v>0</v>
      </c>
      <c r="AU18" s="63">
        <f>AT18+(AT18*'1.Premissas Receitas'!$B$19)</f>
        <v>0</v>
      </c>
      <c r="AV18" s="63">
        <f>AU18+(AU18*'1.Premissas Receitas'!$B$19)</f>
        <v>0</v>
      </c>
      <c r="AW18" s="63">
        <f>AV18+(AV18*'1.Premissas Receitas'!$B$19)</f>
        <v>0</v>
      </c>
      <c r="AX18" s="63">
        <f>AW18+(AW18*'1.Premissas Receitas'!$B$19)</f>
        <v>0</v>
      </c>
      <c r="AY18" s="63">
        <f>AX18+(AX18*'1.Premissas Receitas'!$B$19)</f>
        <v>0</v>
      </c>
      <c r="AZ18" s="63">
        <f>AY18+(AY18*'1.Premissas Receitas'!$B$19)</f>
        <v>0</v>
      </c>
      <c r="BA18" s="63">
        <f>AZ18+(AZ18*'1.Premissas Receitas'!$B$19)</f>
        <v>0</v>
      </c>
      <c r="BB18" s="63">
        <f>BA18+(BA18*'1.Premissas Receitas'!$B$19)</f>
        <v>0</v>
      </c>
      <c r="BC18" s="63">
        <f>BB18+(BB18*'1.Premissas Receitas'!$G$19)</f>
        <v>0</v>
      </c>
      <c r="BD18" s="63">
        <f>BC18+(BC18*'1.Premissas Receitas'!$B$19)</f>
        <v>0</v>
      </c>
      <c r="BE18" s="63">
        <f>BD18+(BD18*'1.Premissas Receitas'!$B$19)</f>
        <v>0</v>
      </c>
      <c r="BF18" s="63">
        <f>BE18+(BE18*'1.Premissas Receitas'!$B$19)</f>
        <v>0</v>
      </c>
      <c r="BG18" s="63">
        <f>BF18+(BF18*'1.Premissas Receitas'!$B$19)</f>
        <v>0</v>
      </c>
      <c r="BH18" s="63">
        <f>BG18+(BG18*'1.Premissas Receitas'!$B$19)</f>
        <v>0</v>
      </c>
      <c r="BI18" s="63">
        <f>BH18+(BH18*'1.Premissas Receitas'!$B$19)</f>
        <v>0</v>
      </c>
      <c r="BJ18" s="63">
        <f>BI18+(BI18*'1.Premissas Receitas'!$B$19)</f>
        <v>0</v>
      </c>
      <c r="BK18" s="63">
        <f>BJ18+(BJ18*'1.Premissas Receitas'!$B$19)</f>
        <v>0</v>
      </c>
      <c r="BL18" s="63">
        <f>BK18+(BK18*'1.Premissas Receitas'!$B$19)</f>
        <v>0</v>
      </c>
      <c r="BM18" s="63">
        <f>BL18+(BL18*'1.Premissas Receitas'!$B$19)</f>
        <v>0</v>
      </c>
      <c r="BN18" s="63">
        <f>BM18+(BM18*'1.Premissas Receitas'!$B$19)</f>
        <v>0</v>
      </c>
      <c r="BO18" s="20"/>
      <c r="BP18" s="62">
        <f t="shared" si="2"/>
        <v>0</v>
      </c>
      <c r="BQ18" s="62">
        <f t="shared" si="3"/>
        <v>0</v>
      </c>
      <c r="BR18" s="62">
        <f t="shared" si="4"/>
        <v>0</v>
      </c>
      <c r="BS18" s="62">
        <f t="shared" si="5"/>
        <v>0</v>
      </c>
      <c r="BT18" s="62">
        <f t="shared" si="6"/>
        <v>0</v>
      </c>
    </row>
    <row r="19" spans="1:72" ht="15.75" customHeight="1" outlineLevel="1" x14ac:dyDescent="0.35">
      <c r="A19" s="20"/>
      <c r="B19" s="20"/>
      <c r="C19" s="62" t="str">
        <f>'1.Premissas Receitas'!A49</f>
        <v># de clientes Conteudo/ Paywall 2</v>
      </c>
      <c r="D19" s="20"/>
      <c r="E19" s="20"/>
      <c r="F19" s="20"/>
      <c r="G19" s="63">
        <f>'1.Premissas Receitas'!G49</f>
        <v>0</v>
      </c>
      <c r="H19" s="63">
        <f>G19+(G19*'1.Premissas Receitas'!$B$19)</f>
        <v>0</v>
      </c>
      <c r="I19" s="63">
        <f>H19+(H19*'1.Premissas Receitas'!$B$19)</f>
        <v>0</v>
      </c>
      <c r="J19" s="63">
        <f>I19+(I19*'1.Premissas Receitas'!$B$19)</f>
        <v>0</v>
      </c>
      <c r="K19" s="63">
        <f>J19+(J19*'1.Premissas Receitas'!$B$19)</f>
        <v>0</v>
      </c>
      <c r="L19" s="63">
        <f>K19+(K19*'1.Premissas Receitas'!$B$19)</f>
        <v>0</v>
      </c>
      <c r="M19" s="63">
        <f>L19+(L19*'1.Premissas Receitas'!$B$19)</f>
        <v>0</v>
      </c>
      <c r="N19" s="63">
        <f>M19+(M19*'1.Premissas Receitas'!$B$19)</f>
        <v>0</v>
      </c>
      <c r="O19" s="63">
        <f>N19+(N19*'1.Premissas Receitas'!$B$19)</f>
        <v>0</v>
      </c>
      <c r="P19" s="63">
        <f>O19+(O19*'1.Premissas Receitas'!$B$19)</f>
        <v>0</v>
      </c>
      <c r="Q19" s="63">
        <f>P19+(P19*'1.Premissas Receitas'!$B$19)</f>
        <v>0</v>
      </c>
      <c r="R19" s="63">
        <f>Q19+(Q19*'1.Premissas Receitas'!$B$19)</f>
        <v>0</v>
      </c>
      <c r="S19" s="63">
        <f>R19+(R19*'1.Premissas Receitas'!$G$16)</f>
        <v>0</v>
      </c>
      <c r="T19" s="63">
        <f>S19+(S19*'1.Premissas Receitas'!$B$19)</f>
        <v>0</v>
      </c>
      <c r="U19" s="63">
        <f>T19+(T19*'1.Premissas Receitas'!$B$19)</f>
        <v>0</v>
      </c>
      <c r="V19" s="63">
        <f>U19+(U19*'1.Premissas Receitas'!$B$19)</f>
        <v>0</v>
      </c>
      <c r="W19" s="63">
        <f>V19+(V19*'1.Premissas Receitas'!$B$19)</f>
        <v>0</v>
      </c>
      <c r="X19" s="63">
        <f>W19+(W19*'1.Premissas Receitas'!$B$19)</f>
        <v>0</v>
      </c>
      <c r="Y19" s="63">
        <f>X19+(X19*'1.Premissas Receitas'!$B$19)</f>
        <v>0</v>
      </c>
      <c r="Z19" s="63">
        <f>Y19+(Y19*'1.Premissas Receitas'!$B$19)</f>
        <v>0</v>
      </c>
      <c r="AA19" s="63">
        <f>Z19+(Z19*'1.Premissas Receitas'!$B$19)</f>
        <v>0</v>
      </c>
      <c r="AB19" s="63">
        <f>AA19+(AA19*'1.Premissas Receitas'!$B$19)</f>
        <v>0</v>
      </c>
      <c r="AC19" s="63">
        <f>AB19+(AB19*'1.Premissas Receitas'!$B$19)</f>
        <v>0</v>
      </c>
      <c r="AD19" s="63">
        <f>AC19+(AC19*'1.Premissas Receitas'!$B$19)</f>
        <v>0</v>
      </c>
      <c r="AE19" s="63">
        <f>AD19+(AD19*'1.Premissas Receitas'!$G$17)</f>
        <v>0</v>
      </c>
      <c r="AF19" s="63">
        <f>AE19+(AE19*'1.Premissas Receitas'!$B$19)</f>
        <v>0</v>
      </c>
      <c r="AG19" s="63">
        <f>AF19+(AF19*'1.Premissas Receitas'!$B$19)</f>
        <v>0</v>
      </c>
      <c r="AH19" s="63">
        <f>AG19+(AG19*'1.Premissas Receitas'!$B$19)</f>
        <v>0</v>
      </c>
      <c r="AI19" s="63">
        <f>AH19+(AH19*'1.Premissas Receitas'!$B$19)</f>
        <v>0</v>
      </c>
      <c r="AJ19" s="63">
        <f>AI19+(AI19*'1.Premissas Receitas'!$B$19)</f>
        <v>0</v>
      </c>
      <c r="AK19" s="63">
        <f>AJ19+(AJ19*'1.Premissas Receitas'!$B$19)</f>
        <v>0</v>
      </c>
      <c r="AL19" s="63">
        <f>AK19+(AK19*'1.Premissas Receitas'!$B$19)</f>
        <v>0</v>
      </c>
      <c r="AM19" s="63">
        <f>AL19+(AL19*'1.Premissas Receitas'!$B$19)</f>
        <v>0</v>
      </c>
      <c r="AN19" s="63">
        <f>AM19+(AM19*'1.Premissas Receitas'!$B$19)</f>
        <v>0</v>
      </c>
      <c r="AO19" s="63">
        <f>AN19+(AN19*'1.Premissas Receitas'!$B$19)</f>
        <v>0</v>
      </c>
      <c r="AP19" s="63">
        <f>AO19+(AO19*'1.Premissas Receitas'!$B$19)</f>
        <v>0</v>
      </c>
      <c r="AQ19" s="63">
        <f>AP19+(AP19*'1.Premissas Receitas'!$G$18)</f>
        <v>0</v>
      </c>
      <c r="AR19" s="63">
        <f>AQ19+(AQ19*'1.Premissas Receitas'!$B$19)</f>
        <v>0</v>
      </c>
      <c r="AS19" s="63">
        <f>AR19+(AR19*'1.Premissas Receitas'!$B$19)</f>
        <v>0</v>
      </c>
      <c r="AT19" s="63">
        <f>AS19+(AS19*'1.Premissas Receitas'!$B$19)</f>
        <v>0</v>
      </c>
      <c r="AU19" s="63">
        <f>AT19+(AT19*'1.Premissas Receitas'!$B$19)</f>
        <v>0</v>
      </c>
      <c r="AV19" s="63">
        <f>AU19+(AU19*'1.Premissas Receitas'!$B$19)</f>
        <v>0</v>
      </c>
      <c r="AW19" s="63">
        <f>AV19+(AV19*'1.Premissas Receitas'!$B$19)</f>
        <v>0</v>
      </c>
      <c r="AX19" s="63">
        <f>AW19+(AW19*'1.Premissas Receitas'!$B$19)</f>
        <v>0</v>
      </c>
      <c r="AY19" s="63">
        <f>AX19+(AX19*'1.Premissas Receitas'!$B$19)</f>
        <v>0</v>
      </c>
      <c r="AZ19" s="63">
        <f>AY19+(AY19*'1.Premissas Receitas'!$B$19)</f>
        <v>0</v>
      </c>
      <c r="BA19" s="63">
        <f>AZ19+(AZ19*'1.Premissas Receitas'!$B$19)</f>
        <v>0</v>
      </c>
      <c r="BB19" s="63">
        <f>BA19+(BA19*'1.Premissas Receitas'!$B$19)</f>
        <v>0</v>
      </c>
      <c r="BC19" s="63">
        <f>BB19+(BB19*'1.Premissas Receitas'!$G$19)</f>
        <v>0</v>
      </c>
      <c r="BD19" s="63">
        <f>BC19+(BC19*'1.Premissas Receitas'!$B$19)</f>
        <v>0</v>
      </c>
      <c r="BE19" s="63">
        <f>BD19+(BD19*'1.Premissas Receitas'!$B$19)</f>
        <v>0</v>
      </c>
      <c r="BF19" s="63">
        <f>BE19+(BE19*'1.Premissas Receitas'!$B$19)</f>
        <v>0</v>
      </c>
      <c r="BG19" s="63">
        <f>BF19+(BF19*'1.Premissas Receitas'!$B$19)</f>
        <v>0</v>
      </c>
      <c r="BH19" s="63">
        <f>BG19+(BG19*'1.Premissas Receitas'!$B$19)</f>
        <v>0</v>
      </c>
      <c r="BI19" s="63">
        <f>BH19+(BH19*'1.Premissas Receitas'!$B$19)</f>
        <v>0</v>
      </c>
      <c r="BJ19" s="63">
        <f>BI19+(BI19*'1.Premissas Receitas'!$B$19)</f>
        <v>0</v>
      </c>
      <c r="BK19" s="63">
        <f>BJ19+(BJ19*'1.Premissas Receitas'!$B$19)</f>
        <v>0</v>
      </c>
      <c r="BL19" s="63">
        <f>BK19+(BK19*'1.Premissas Receitas'!$B$19)</f>
        <v>0</v>
      </c>
      <c r="BM19" s="63">
        <f>BL19+(BL19*'1.Premissas Receitas'!$B$19)</f>
        <v>0</v>
      </c>
      <c r="BN19" s="63">
        <f>BM19+(BM19*'1.Premissas Receitas'!$B$19)</f>
        <v>0</v>
      </c>
      <c r="BO19" s="20"/>
      <c r="BP19" s="62">
        <f t="shared" si="2"/>
        <v>0</v>
      </c>
      <c r="BQ19" s="62">
        <f t="shared" si="3"/>
        <v>0</v>
      </c>
      <c r="BR19" s="62">
        <f t="shared" si="4"/>
        <v>0</v>
      </c>
      <c r="BS19" s="62">
        <f t="shared" si="5"/>
        <v>0</v>
      </c>
      <c r="BT19" s="62">
        <f t="shared" si="6"/>
        <v>0</v>
      </c>
    </row>
    <row r="20" spans="1:72" ht="15.75" customHeight="1" outlineLevel="1" x14ac:dyDescent="0.35">
      <c r="A20" s="20"/>
      <c r="B20" s="20"/>
      <c r="C20" s="62" t="str">
        <f>'1.Premissas Receitas'!A50</f>
        <v># de clientes Conteudo/ Paywall 3</v>
      </c>
      <c r="D20" s="20"/>
      <c r="E20" s="20"/>
      <c r="F20" s="20"/>
      <c r="G20" s="63">
        <f>'1.Premissas Receitas'!G50</f>
        <v>0</v>
      </c>
      <c r="H20" s="63">
        <f>G20+(G20*'1.Premissas Receitas'!$B$19)</f>
        <v>0</v>
      </c>
      <c r="I20" s="63">
        <f>H20+(H20*'1.Premissas Receitas'!$B$19)</f>
        <v>0</v>
      </c>
      <c r="J20" s="63">
        <f>I20+(I20*'1.Premissas Receitas'!$B$19)</f>
        <v>0</v>
      </c>
      <c r="K20" s="63">
        <f>J20+(J20*'1.Premissas Receitas'!$B$19)</f>
        <v>0</v>
      </c>
      <c r="L20" s="63">
        <f>K20+(K20*'1.Premissas Receitas'!$B$19)</f>
        <v>0</v>
      </c>
      <c r="M20" s="63">
        <f>L20+(L20*'1.Premissas Receitas'!$B$19)</f>
        <v>0</v>
      </c>
      <c r="N20" s="63">
        <f>M20+(M20*'1.Premissas Receitas'!$B$19)</f>
        <v>0</v>
      </c>
      <c r="O20" s="63">
        <f>N20+(N20*'1.Premissas Receitas'!$B$19)</f>
        <v>0</v>
      </c>
      <c r="P20" s="63">
        <f>O20+(O20*'1.Premissas Receitas'!$B$19)</f>
        <v>0</v>
      </c>
      <c r="Q20" s="63">
        <f>P20+(P20*'1.Premissas Receitas'!$B$19)</f>
        <v>0</v>
      </c>
      <c r="R20" s="63">
        <f>Q20+(Q20*'1.Premissas Receitas'!$B$19)</f>
        <v>0</v>
      </c>
      <c r="S20" s="63">
        <f>R20+(R20*'1.Premissas Receitas'!$G$16)</f>
        <v>0</v>
      </c>
      <c r="T20" s="63">
        <f>S20+(S20*'1.Premissas Receitas'!$B$19)</f>
        <v>0</v>
      </c>
      <c r="U20" s="63">
        <f>T20+(T20*'1.Premissas Receitas'!$B$19)</f>
        <v>0</v>
      </c>
      <c r="V20" s="63">
        <f>U20+(U20*'1.Premissas Receitas'!$B$19)</f>
        <v>0</v>
      </c>
      <c r="W20" s="63">
        <f>V20+(V20*'1.Premissas Receitas'!$B$19)</f>
        <v>0</v>
      </c>
      <c r="X20" s="63">
        <f>W20+(W20*'1.Premissas Receitas'!$B$19)</f>
        <v>0</v>
      </c>
      <c r="Y20" s="63">
        <f>X20+(X20*'1.Premissas Receitas'!$B$19)</f>
        <v>0</v>
      </c>
      <c r="Z20" s="63">
        <f>Y20+(Y20*'1.Premissas Receitas'!$B$19)</f>
        <v>0</v>
      </c>
      <c r="AA20" s="63">
        <f>Z20+(Z20*'1.Premissas Receitas'!$B$19)</f>
        <v>0</v>
      </c>
      <c r="AB20" s="63">
        <f>AA20+(AA20*'1.Premissas Receitas'!$B$19)</f>
        <v>0</v>
      </c>
      <c r="AC20" s="63">
        <f>AB20+(AB20*'1.Premissas Receitas'!$B$19)</f>
        <v>0</v>
      </c>
      <c r="AD20" s="63">
        <f>AC20+(AC20*'1.Premissas Receitas'!$B$19)</f>
        <v>0</v>
      </c>
      <c r="AE20" s="63">
        <f>AD20+(AD20*'1.Premissas Receitas'!$G$17)</f>
        <v>0</v>
      </c>
      <c r="AF20" s="63">
        <f>AE20+(AE20*'1.Premissas Receitas'!$B$19)</f>
        <v>0</v>
      </c>
      <c r="AG20" s="63">
        <f>AF20+(AF20*'1.Premissas Receitas'!$B$19)</f>
        <v>0</v>
      </c>
      <c r="AH20" s="63">
        <f>AG20+(AG20*'1.Premissas Receitas'!$B$19)</f>
        <v>0</v>
      </c>
      <c r="AI20" s="63">
        <f>AH20+(AH20*'1.Premissas Receitas'!$B$19)</f>
        <v>0</v>
      </c>
      <c r="AJ20" s="63">
        <f>AI20+(AI20*'1.Premissas Receitas'!$B$19)</f>
        <v>0</v>
      </c>
      <c r="AK20" s="63">
        <f>AJ20+(AJ20*'1.Premissas Receitas'!$B$19)</f>
        <v>0</v>
      </c>
      <c r="AL20" s="63">
        <f>AK20+(AK20*'1.Premissas Receitas'!$B$19)</f>
        <v>0</v>
      </c>
      <c r="AM20" s="63">
        <f>AL20+(AL20*'1.Premissas Receitas'!$B$19)</f>
        <v>0</v>
      </c>
      <c r="AN20" s="63">
        <f>AM20+(AM20*'1.Premissas Receitas'!$B$19)</f>
        <v>0</v>
      </c>
      <c r="AO20" s="63">
        <f>AN20+(AN20*'1.Premissas Receitas'!$B$19)</f>
        <v>0</v>
      </c>
      <c r="AP20" s="63">
        <f>AO20+(AO20*'1.Premissas Receitas'!$B$19)</f>
        <v>0</v>
      </c>
      <c r="AQ20" s="63">
        <f>AP20+(AP20*'1.Premissas Receitas'!$G$18)</f>
        <v>0</v>
      </c>
      <c r="AR20" s="63">
        <f>AQ20+(AQ20*'1.Premissas Receitas'!$B$19)</f>
        <v>0</v>
      </c>
      <c r="AS20" s="63">
        <f>AR20+(AR20*'1.Premissas Receitas'!$B$19)</f>
        <v>0</v>
      </c>
      <c r="AT20" s="63">
        <f>AS20+(AS20*'1.Premissas Receitas'!$B$19)</f>
        <v>0</v>
      </c>
      <c r="AU20" s="63">
        <f>AT20+(AT20*'1.Premissas Receitas'!$B$19)</f>
        <v>0</v>
      </c>
      <c r="AV20" s="63">
        <f>AU20+(AU20*'1.Premissas Receitas'!$B$19)</f>
        <v>0</v>
      </c>
      <c r="AW20" s="63">
        <f>AV20+(AV20*'1.Premissas Receitas'!$B$19)</f>
        <v>0</v>
      </c>
      <c r="AX20" s="63">
        <f>AW20+(AW20*'1.Premissas Receitas'!$B$19)</f>
        <v>0</v>
      </c>
      <c r="AY20" s="63">
        <f>AX20+(AX20*'1.Premissas Receitas'!$B$19)</f>
        <v>0</v>
      </c>
      <c r="AZ20" s="63">
        <f>AY20+(AY20*'1.Premissas Receitas'!$B$19)</f>
        <v>0</v>
      </c>
      <c r="BA20" s="63">
        <f>AZ20+(AZ20*'1.Premissas Receitas'!$B$19)</f>
        <v>0</v>
      </c>
      <c r="BB20" s="63">
        <f>BA20+(BA20*'1.Premissas Receitas'!$B$19)</f>
        <v>0</v>
      </c>
      <c r="BC20" s="63">
        <f>BB20+(BB20*'1.Premissas Receitas'!$G$19)</f>
        <v>0</v>
      </c>
      <c r="BD20" s="63">
        <f>BC20+(BC20*'1.Premissas Receitas'!$B$19)</f>
        <v>0</v>
      </c>
      <c r="BE20" s="63">
        <f>BD20+(BD20*'1.Premissas Receitas'!$B$19)</f>
        <v>0</v>
      </c>
      <c r="BF20" s="63">
        <f>BE20+(BE20*'1.Premissas Receitas'!$B$19)</f>
        <v>0</v>
      </c>
      <c r="BG20" s="63">
        <f>BF20+(BF20*'1.Premissas Receitas'!$B$19)</f>
        <v>0</v>
      </c>
      <c r="BH20" s="63">
        <f>BG20+(BG20*'1.Premissas Receitas'!$B$19)</f>
        <v>0</v>
      </c>
      <c r="BI20" s="63">
        <f>BH20+(BH20*'1.Premissas Receitas'!$B$19)</f>
        <v>0</v>
      </c>
      <c r="BJ20" s="63">
        <f>BI20+(BI20*'1.Premissas Receitas'!$B$19)</f>
        <v>0</v>
      </c>
      <c r="BK20" s="63">
        <f>BJ20+(BJ20*'1.Premissas Receitas'!$B$19)</f>
        <v>0</v>
      </c>
      <c r="BL20" s="63">
        <f>BK20+(BK20*'1.Premissas Receitas'!$B$19)</f>
        <v>0</v>
      </c>
      <c r="BM20" s="63">
        <f>BL20+(BL20*'1.Premissas Receitas'!$B$19)</f>
        <v>0</v>
      </c>
      <c r="BN20" s="63">
        <f>BM20+(BM20*'1.Premissas Receitas'!$B$19)</f>
        <v>0</v>
      </c>
      <c r="BO20" s="20"/>
      <c r="BP20" s="62">
        <f t="shared" si="2"/>
        <v>0</v>
      </c>
      <c r="BQ20" s="62">
        <f t="shared" si="3"/>
        <v>0</v>
      </c>
      <c r="BR20" s="62">
        <f t="shared" si="4"/>
        <v>0</v>
      </c>
      <c r="BS20" s="62">
        <f t="shared" si="5"/>
        <v>0</v>
      </c>
      <c r="BT20" s="62">
        <f t="shared" si="6"/>
        <v>0</v>
      </c>
    </row>
    <row r="21" spans="1:72" ht="15.75" customHeight="1" outlineLevel="1" x14ac:dyDescent="0.35">
      <c r="A21" s="20"/>
      <c r="B21" s="20"/>
      <c r="C21" s="62" t="str">
        <f>'1.Premissas Receitas'!A56</f>
        <v># de clientes publicidade Produto/Serviço 1</v>
      </c>
      <c r="D21" s="20"/>
      <c r="E21" s="20"/>
      <c r="F21" s="20"/>
      <c r="G21" s="63">
        <f>'1.Premissas Receitas'!G56</f>
        <v>0</v>
      </c>
      <c r="H21" s="63">
        <f>G21+(G21*'1.Premissas Receitas'!$B$19)</f>
        <v>0</v>
      </c>
      <c r="I21" s="63">
        <f>H21+(H21*'1.Premissas Receitas'!$B$19)</f>
        <v>0</v>
      </c>
      <c r="J21" s="63">
        <f>I21+(I21*'1.Premissas Receitas'!$B$19)</f>
        <v>0</v>
      </c>
      <c r="K21" s="63">
        <f>J21+(J21*'1.Premissas Receitas'!$B$19)</f>
        <v>0</v>
      </c>
      <c r="L21" s="63">
        <f>K21+(K21*'1.Premissas Receitas'!$B$19)</f>
        <v>0</v>
      </c>
      <c r="M21" s="63">
        <f>L21+(L21*'1.Premissas Receitas'!$B$19)</f>
        <v>0</v>
      </c>
      <c r="N21" s="63">
        <f>M21+(M21*'1.Premissas Receitas'!$B$19)</f>
        <v>0</v>
      </c>
      <c r="O21" s="63">
        <f>N21+(N21*'1.Premissas Receitas'!$B$19)</f>
        <v>0</v>
      </c>
      <c r="P21" s="63">
        <f>O21+(O21*'1.Premissas Receitas'!$B$19)</f>
        <v>0</v>
      </c>
      <c r="Q21" s="63">
        <f>P21+(P21*'1.Premissas Receitas'!$B$19)</f>
        <v>0</v>
      </c>
      <c r="R21" s="63">
        <f>Q21+(Q21*'1.Premissas Receitas'!$B$19)</f>
        <v>0</v>
      </c>
      <c r="S21" s="63">
        <f>R21+(R21*'1.Premissas Receitas'!$G$16)</f>
        <v>0</v>
      </c>
      <c r="T21" s="63">
        <f>S21+(S21*'1.Premissas Receitas'!$B$19)</f>
        <v>0</v>
      </c>
      <c r="U21" s="63">
        <f>T21+(T21*'1.Premissas Receitas'!$B$19)</f>
        <v>0</v>
      </c>
      <c r="V21" s="63">
        <f>U21+(U21*'1.Premissas Receitas'!$B$19)</f>
        <v>0</v>
      </c>
      <c r="W21" s="63">
        <f>V21+(V21*'1.Premissas Receitas'!$B$19)</f>
        <v>0</v>
      </c>
      <c r="X21" s="63">
        <f>W21+(W21*'1.Premissas Receitas'!$B$19)</f>
        <v>0</v>
      </c>
      <c r="Y21" s="63">
        <f>X21+(X21*'1.Premissas Receitas'!$B$19)</f>
        <v>0</v>
      </c>
      <c r="Z21" s="63">
        <f>Y21+(Y21*'1.Premissas Receitas'!$B$19)</f>
        <v>0</v>
      </c>
      <c r="AA21" s="63">
        <f>Z21+(Z21*'1.Premissas Receitas'!$B$19)</f>
        <v>0</v>
      </c>
      <c r="AB21" s="63">
        <f>AA21+(AA21*'1.Premissas Receitas'!$B$19)</f>
        <v>0</v>
      </c>
      <c r="AC21" s="63">
        <f>AB21+(AB21*'1.Premissas Receitas'!$B$19)</f>
        <v>0</v>
      </c>
      <c r="AD21" s="63">
        <f>AC21+(AC21*'1.Premissas Receitas'!$B$19)</f>
        <v>0</v>
      </c>
      <c r="AE21" s="63">
        <f>AD21+(AD21*'1.Premissas Receitas'!$G$17)</f>
        <v>0</v>
      </c>
      <c r="AF21" s="63">
        <f>AE21+(AE21*'1.Premissas Receitas'!$B$19)</f>
        <v>0</v>
      </c>
      <c r="AG21" s="63">
        <f>AF21+(AF21*'1.Premissas Receitas'!$B$19)</f>
        <v>0</v>
      </c>
      <c r="AH21" s="63">
        <f>AG21+(AG21*'1.Premissas Receitas'!$B$19)</f>
        <v>0</v>
      </c>
      <c r="AI21" s="63">
        <f>AH21+(AH21*'1.Premissas Receitas'!$B$19)</f>
        <v>0</v>
      </c>
      <c r="AJ21" s="63">
        <f>AI21+(AI21*'1.Premissas Receitas'!$B$19)</f>
        <v>0</v>
      </c>
      <c r="AK21" s="63">
        <f>AJ21+(AJ21*'1.Premissas Receitas'!$B$19)</f>
        <v>0</v>
      </c>
      <c r="AL21" s="63">
        <f>AK21+(AK21*'1.Premissas Receitas'!$B$19)</f>
        <v>0</v>
      </c>
      <c r="AM21" s="63">
        <f>AL21+(AL21*'1.Premissas Receitas'!$B$19)</f>
        <v>0</v>
      </c>
      <c r="AN21" s="63">
        <f>AM21+(AM21*'1.Premissas Receitas'!$B$19)</f>
        <v>0</v>
      </c>
      <c r="AO21" s="63">
        <f>AN21+(AN21*'1.Premissas Receitas'!$B$19)</f>
        <v>0</v>
      </c>
      <c r="AP21" s="63">
        <f>AO21+(AO21*'1.Premissas Receitas'!$B$19)</f>
        <v>0</v>
      </c>
      <c r="AQ21" s="63">
        <f>AP21+(AP21*'1.Premissas Receitas'!$G$18)</f>
        <v>0</v>
      </c>
      <c r="AR21" s="63">
        <f>AQ21+(AQ21*'1.Premissas Receitas'!$B$19)</f>
        <v>0</v>
      </c>
      <c r="AS21" s="63">
        <f>AR21+(AR21*'1.Premissas Receitas'!$B$19)</f>
        <v>0</v>
      </c>
      <c r="AT21" s="63">
        <f>AS21+(AS21*'1.Premissas Receitas'!$B$19)</f>
        <v>0</v>
      </c>
      <c r="AU21" s="63">
        <f>AT21+(AT21*'1.Premissas Receitas'!$B$19)</f>
        <v>0</v>
      </c>
      <c r="AV21" s="63">
        <f>AU21+(AU21*'1.Premissas Receitas'!$B$19)</f>
        <v>0</v>
      </c>
      <c r="AW21" s="63">
        <f>AV21+(AV21*'1.Premissas Receitas'!$B$19)</f>
        <v>0</v>
      </c>
      <c r="AX21" s="63">
        <f>AW21+(AW21*'1.Premissas Receitas'!$B$19)</f>
        <v>0</v>
      </c>
      <c r="AY21" s="63">
        <f>AX21+(AX21*'1.Premissas Receitas'!$B$19)</f>
        <v>0</v>
      </c>
      <c r="AZ21" s="63">
        <f>AY21+(AY21*'1.Premissas Receitas'!$B$19)</f>
        <v>0</v>
      </c>
      <c r="BA21" s="63">
        <f>AZ21+(AZ21*'1.Premissas Receitas'!$B$19)</f>
        <v>0</v>
      </c>
      <c r="BB21" s="63">
        <f>BA21+(BA21*'1.Premissas Receitas'!$B$19)</f>
        <v>0</v>
      </c>
      <c r="BC21" s="63">
        <f>BB21+(BB21*'1.Premissas Receitas'!$G$19)</f>
        <v>0</v>
      </c>
      <c r="BD21" s="63">
        <f>BC21+(BC21*'1.Premissas Receitas'!$B$19)</f>
        <v>0</v>
      </c>
      <c r="BE21" s="63">
        <f>BD21+(BD21*'1.Premissas Receitas'!$B$19)</f>
        <v>0</v>
      </c>
      <c r="BF21" s="63">
        <f>BE21+(BE21*'1.Premissas Receitas'!$B$19)</f>
        <v>0</v>
      </c>
      <c r="BG21" s="63">
        <f>BF21+(BF21*'1.Premissas Receitas'!$B$19)</f>
        <v>0</v>
      </c>
      <c r="BH21" s="63">
        <f>BG21+(BG21*'1.Premissas Receitas'!$B$19)</f>
        <v>0</v>
      </c>
      <c r="BI21" s="63">
        <f>BH21+(BH21*'1.Premissas Receitas'!$B$19)</f>
        <v>0</v>
      </c>
      <c r="BJ21" s="63">
        <f>BI21+(BI21*'1.Premissas Receitas'!$B$19)</f>
        <v>0</v>
      </c>
      <c r="BK21" s="63">
        <f>BJ21+(BJ21*'1.Premissas Receitas'!$B$19)</f>
        <v>0</v>
      </c>
      <c r="BL21" s="63">
        <f>BK21+(BK21*'1.Premissas Receitas'!$B$19)</f>
        <v>0</v>
      </c>
      <c r="BM21" s="63">
        <f>BL21+(BL21*'1.Premissas Receitas'!$B$19)</f>
        <v>0</v>
      </c>
      <c r="BN21" s="63">
        <f>BM21+(BM21*'1.Premissas Receitas'!$B$19)</f>
        <v>0</v>
      </c>
      <c r="BO21" s="20"/>
      <c r="BP21" s="62">
        <f t="shared" si="2"/>
        <v>0</v>
      </c>
      <c r="BQ21" s="62">
        <f t="shared" si="3"/>
        <v>0</v>
      </c>
      <c r="BR21" s="62">
        <f t="shared" si="4"/>
        <v>0</v>
      </c>
      <c r="BS21" s="62">
        <f t="shared" si="5"/>
        <v>0</v>
      </c>
      <c r="BT21" s="62">
        <f t="shared" si="6"/>
        <v>0</v>
      </c>
    </row>
    <row r="22" spans="1:72" ht="15.75" customHeight="1" outlineLevel="1" x14ac:dyDescent="0.35">
      <c r="A22" s="20"/>
      <c r="B22" s="20"/>
      <c r="C22" s="62" t="str">
        <f>'1.Premissas Receitas'!A57</f>
        <v># de clientes publicidade Produto/Serviço 2</v>
      </c>
      <c r="D22" s="20"/>
      <c r="E22" s="20"/>
      <c r="F22" s="20"/>
      <c r="G22" s="63">
        <f>'1.Premissas Receitas'!G57</f>
        <v>0</v>
      </c>
      <c r="H22" s="63">
        <f>G22+(G22*'1.Premissas Receitas'!$B$19)</f>
        <v>0</v>
      </c>
      <c r="I22" s="63">
        <f>H22+(H22*'1.Premissas Receitas'!$B$19)</f>
        <v>0</v>
      </c>
      <c r="J22" s="63">
        <f>I22+(I22*'1.Premissas Receitas'!$B$19)</f>
        <v>0</v>
      </c>
      <c r="K22" s="63">
        <f>J22+(J22*'1.Premissas Receitas'!$B$19)</f>
        <v>0</v>
      </c>
      <c r="L22" s="63">
        <f>K22+(K22*'1.Premissas Receitas'!$B$19)</f>
        <v>0</v>
      </c>
      <c r="M22" s="63">
        <f>L22+(L22*'1.Premissas Receitas'!$B$19)</f>
        <v>0</v>
      </c>
      <c r="N22" s="63">
        <f>M22+(M22*'1.Premissas Receitas'!$B$19)</f>
        <v>0</v>
      </c>
      <c r="O22" s="63">
        <f>N22+(N22*'1.Premissas Receitas'!$B$19)</f>
        <v>0</v>
      </c>
      <c r="P22" s="63">
        <f>O22+(O22*'1.Premissas Receitas'!$B$19)</f>
        <v>0</v>
      </c>
      <c r="Q22" s="63">
        <f>P22+(P22*'1.Premissas Receitas'!$B$19)</f>
        <v>0</v>
      </c>
      <c r="R22" s="63">
        <f>Q22+(Q22*'1.Premissas Receitas'!$B$19)</f>
        <v>0</v>
      </c>
      <c r="S22" s="63">
        <f>R22+(R22*'1.Premissas Receitas'!$G$16)</f>
        <v>0</v>
      </c>
      <c r="T22" s="63">
        <f>S22+(S22*'1.Premissas Receitas'!$B$19)</f>
        <v>0</v>
      </c>
      <c r="U22" s="63">
        <f>T22+(T22*'1.Premissas Receitas'!$B$19)</f>
        <v>0</v>
      </c>
      <c r="V22" s="63">
        <f>U22+(U22*'1.Premissas Receitas'!$B$19)</f>
        <v>0</v>
      </c>
      <c r="W22" s="63">
        <f>V22+(V22*'1.Premissas Receitas'!$B$19)</f>
        <v>0</v>
      </c>
      <c r="X22" s="63">
        <f>W22+(W22*'1.Premissas Receitas'!$B$19)</f>
        <v>0</v>
      </c>
      <c r="Y22" s="63">
        <f>X22+(X22*'1.Premissas Receitas'!$B$19)</f>
        <v>0</v>
      </c>
      <c r="Z22" s="63">
        <f>Y22+(Y22*'1.Premissas Receitas'!$B$19)</f>
        <v>0</v>
      </c>
      <c r="AA22" s="63">
        <f>Z22+(Z22*'1.Premissas Receitas'!$B$19)</f>
        <v>0</v>
      </c>
      <c r="AB22" s="63">
        <f>AA22+(AA22*'1.Premissas Receitas'!$B$19)</f>
        <v>0</v>
      </c>
      <c r="AC22" s="63">
        <f>AB22+(AB22*'1.Premissas Receitas'!$B$19)</f>
        <v>0</v>
      </c>
      <c r="AD22" s="63">
        <f>AC22+(AC22*'1.Premissas Receitas'!$B$19)</f>
        <v>0</v>
      </c>
      <c r="AE22" s="63">
        <f>AD22+(AD22*'1.Premissas Receitas'!$G$17)</f>
        <v>0</v>
      </c>
      <c r="AF22" s="63">
        <f>AE22+(AE22*'1.Premissas Receitas'!$B$19)</f>
        <v>0</v>
      </c>
      <c r="AG22" s="63">
        <f>AF22+(AF22*'1.Premissas Receitas'!$B$19)</f>
        <v>0</v>
      </c>
      <c r="AH22" s="63">
        <f>AG22+(AG22*'1.Premissas Receitas'!$B$19)</f>
        <v>0</v>
      </c>
      <c r="AI22" s="63">
        <f>AH22+(AH22*'1.Premissas Receitas'!$B$19)</f>
        <v>0</v>
      </c>
      <c r="AJ22" s="63">
        <f>AI22+(AI22*'1.Premissas Receitas'!$B$19)</f>
        <v>0</v>
      </c>
      <c r="AK22" s="63">
        <f>AJ22+(AJ22*'1.Premissas Receitas'!$B$19)</f>
        <v>0</v>
      </c>
      <c r="AL22" s="63">
        <f>AK22+(AK22*'1.Premissas Receitas'!$B$19)</f>
        <v>0</v>
      </c>
      <c r="AM22" s="63">
        <f>AL22+(AL22*'1.Premissas Receitas'!$B$19)</f>
        <v>0</v>
      </c>
      <c r="AN22" s="63">
        <f>AM22+(AM22*'1.Premissas Receitas'!$B$19)</f>
        <v>0</v>
      </c>
      <c r="AO22" s="63">
        <f>AN22+(AN22*'1.Premissas Receitas'!$B$19)</f>
        <v>0</v>
      </c>
      <c r="AP22" s="63">
        <f>AO22+(AO22*'1.Premissas Receitas'!$B$19)</f>
        <v>0</v>
      </c>
      <c r="AQ22" s="63">
        <f>AP22+(AP22*'1.Premissas Receitas'!$G$18)</f>
        <v>0</v>
      </c>
      <c r="AR22" s="63">
        <f>AQ22+(AQ22*'1.Premissas Receitas'!$B$19)</f>
        <v>0</v>
      </c>
      <c r="AS22" s="63">
        <f>AR22+(AR22*'1.Premissas Receitas'!$B$19)</f>
        <v>0</v>
      </c>
      <c r="AT22" s="63">
        <f>AS22+(AS22*'1.Premissas Receitas'!$B$19)</f>
        <v>0</v>
      </c>
      <c r="AU22" s="63">
        <f>AT22+(AT22*'1.Premissas Receitas'!$B$19)</f>
        <v>0</v>
      </c>
      <c r="AV22" s="63">
        <f>AU22+(AU22*'1.Premissas Receitas'!$B$19)</f>
        <v>0</v>
      </c>
      <c r="AW22" s="63">
        <f>AV22+(AV22*'1.Premissas Receitas'!$B$19)</f>
        <v>0</v>
      </c>
      <c r="AX22" s="63">
        <f>AW22+(AW22*'1.Premissas Receitas'!$B$19)</f>
        <v>0</v>
      </c>
      <c r="AY22" s="63">
        <f>AX22+(AX22*'1.Premissas Receitas'!$B$19)</f>
        <v>0</v>
      </c>
      <c r="AZ22" s="63">
        <f>AY22+(AY22*'1.Premissas Receitas'!$B$19)</f>
        <v>0</v>
      </c>
      <c r="BA22" s="63">
        <f>AZ22+(AZ22*'1.Premissas Receitas'!$B$19)</f>
        <v>0</v>
      </c>
      <c r="BB22" s="63">
        <f>BA22+(BA22*'1.Premissas Receitas'!$B$19)</f>
        <v>0</v>
      </c>
      <c r="BC22" s="63">
        <f>BB22+(BB22*'1.Premissas Receitas'!$G$19)</f>
        <v>0</v>
      </c>
      <c r="BD22" s="63">
        <f>BC22+(BC22*'1.Premissas Receitas'!$B$19)</f>
        <v>0</v>
      </c>
      <c r="BE22" s="63">
        <f>BD22+(BD22*'1.Premissas Receitas'!$B$19)</f>
        <v>0</v>
      </c>
      <c r="BF22" s="63">
        <f>BE22+(BE22*'1.Premissas Receitas'!$B$19)</f>
        <v>0</v>
      </c>
      <c r="BG22" s="63">
        <f>BF22+(BF22*'1.Premissas Receitas'!$B$19)</f>
        <v>0</v>
      </c>
      <c r="BH22" s="63">
        <f>BG22+(BG22*'1.Premissas Receitas'!$B$19)</f>
        <v>0</v>
      </c>
      <c r="BI22" s="63">
        <f>BH22+(BH22*'1.Premissas Receitas'!$B$19)</f>
        <v>0</v>
      </c>
      <c r="BJ22" s="63">
        <f>BI22+(BI22*'1.Premissas Receitas'!$B$19)</f>
        <v>0</v>
      </c>
      <c r="BK22" s="63">
        <f>BJ22+(BJ22*'1.Premissas Receitas'!$B$19)</f>
        <v>0</v>
      </c>
      <c r="BL22" s="63">
        <f>BK22+(BK22*'1.Premissas Receitas'!$B$19)</f>
        <v>0</v>
      </c>
      <c r="BM22" s="63">
        <f>BL22+(BL22*'1.Premissas Receitas'!$B$19)</f>
        <v>0</v>
      </c>
      <c r="BN22" s="63">
        <f>BM22+(BM22*'1.Premissas Receitas'!$B$19)</f>
        <v>0</v>
      </c>
      <c r="BO22" s="49"/>
      <c r="BP22" s="62">
        <f t="shared" si="2"/>
        <v>0</v>
      </c>
      <c r="BQ22" s="62">
        <f t="shared" si="3"/>
        <v>0</v>
      </c>
      <c r="BR22" s="62">
        <f t="shared" si="4"/>
        <v>0</v>
      </c>
      <c r="BS22" s="62">
        <f t="shared" si="5"/>
        <v>0</v>
      </c>
      <c r="BT22" s="62">
        <f t="shared" si="6"/>
        <v>0</v>
      </c>
    </row>
    <row r="23" spans="1:72" ht="15.75" customHeight="1" outlineLevel="1" x14ac:dyDescent="0.35">
      <c r="A23" s="20"/>
      <c r="B23" s="20"/>
      <c r="C23" s="62" t="str">
        <f>'1.Premissas Receitas'!A58</f>
        <v># de clientes publicidade Produto/Serviço 3</v>
      </c>
      <c r="D23" s="20"/>
      <c r="E23" s="20"/>
      <c r="F23" s="20"/>
      <c r="G23" s="63">
        <f>'1.Premissas Receitas'!G58</f>
        <v>0</v>
      </c>
      <c r="H23" s="63">
        <f>G23+(G23*'1.Premissas Receitas'!$B$19)</f>
        <v>0</v>
      </c>
      <c r="I23" s="63">
        <f>H23+(H23*'1.Premissas Receitas'!$B$19)</f>
        <v>0</v>
      </c>
      <c r="J23" s="63">
        <f>I23+(I23*'1.Premissas Receitas'!$B$19)</f>
        <v>0</v>
      </c>
      <c r="K23" s="63">
        <f>J23+(J23*'1.Premissas Receitas'!$B$19)</f>
        <v>0</v>
      </c>
      <c r="L23" s="63">
        <f>K23+(K23*'1.Premissas Receitas'!$B$19)</f>
        <v>0</v>
      </c>
      <c r="M23" s="63">
        <f>L23+(L23*'1.Premissas Receitas'!$B$19)</f>
        <v>0</v>
      </c>
      <c r="N23" s="63">
        <f>M23+(M23*'1.Premissas Receitas'!$B$19)</f>
        <v>0</v>
      </c>
      <c r="O23" s="63">
        <f>N23+(N23*'1.Premissas Receitas'!$B$19)</f>
        <v>0</v>
      </c>
      <c r="P23" s="63">
        <f>O23+(O23*'1.Premissas Receitas'!$B$19)</f>
        <v>0</v>
      </c>
      <c r="Q23" s="63">
        <f>P23+(P23*'1.Premissas Receitas'!$B$19)</f>
        <v>0</v>
      </c>
      <c r="R23" s="63">
        <f>Q23+(Q23*'1.Premissas Receitas'!$B$19)</f>
        <v>0</v>
      </c>
      <c r="S23" s="63">
        <f>R23+(R23*'1.Premissas Receitas'!$G$16)</f>
        <v>0</v>
      </c>
      <c r="T23" s="63">
        <f>S23+(S23*'1.Premissas Receitas'!$B$19)</f>
        <v>0</v>
      </c>
      <c r="U23" s="63">
        <f>T23+(T23*'1.Premissas Receitas'!$B$19)</f>
        <v>0</v>
      </c>
      <c r="V23" s="63">
        <f>U23+(U23*'1.Premissas Receitas'!$B$19)</f>
        <v>0</v>
      </c>
      <c r="W23" s="63">
        <f>V23+(V23*'1.Premissas Receitas'!$B$19)</f>
        <v>0</v>
      </c>
      <c r="X23" s="63">
        <f>W23+(W23*'1.Premissas Receitas'!$B$19)</f>
        <v>0</v>
      </c>
      <c r="Y23" s="63">
        <f>X23+(X23*'1.Premissas Receitas'!$B$19)</f>
        <v>0</v>
      </c>
      <c r="Z23" s="63">
        <f>Y23+(Y23*'1.Premissas Receitas'!$B$19)</f>
        <v>0</v>
      </c>
      <c r="AA23" s="63">
        <f>Z23+(Z23*'1.Premissas Receitas'!$B$19)</f>
        <v>0</v>
      </c>
      <c r="AB23" s="63">
        <f>AA23+(AA23*'1.Premissas Receitas'!$B$19)</f>
        <v>0</v>
      </c>
      <c r="AC23" s="63">
        <f>AB23+(AB23*'1.Premissas Receitas'!$B$19)</f>
        <v>0</v>
      </c>
      <c r="AD23" s="63">
        <f>AC23+(AC23*'1.Premissas Receitas'!$B$19)</f>
        <v>0</v>
      </c>
      <c r="AE23" s="63">
        <f>AD23+(AD23*'1.Premissas Receitas'!$G$17)</f>
        <v>0</v>
      </c>
      <c r="AF23" s="63">
        <f>AE23+(AE23*'1.Premissas Receitas'!$B$19)</f>
        <v>0</v>
      </c>
      <c r="AG23" s="63">
        <f>AF23+(AF23*'1.Premissas Receitas'!$B$19)</f>
        <v>0</v>
      </c>
      <c r="AH23" s="63">
        <f>AG23+(AG23*'1.Premissas Receitas'!$B$19)</f>
        <v>0</v>
      </c>
      <c r="AI23" s="63">
        <f>AH23+(AH23*'1.Premissas Receitas'!$B$19)</f>
        <v>0</v>
      </c>
      <c r="AJ23" s="63">
        <f>AI23+(AI23*'1.Premissas Receitas'!$B$19)</f>
        <v>0</v>
      </c>
      <c r="AK23" s="63">
        <f>AJ23+(AJ23*'1.Premissas Receitas'!$B$19)</f>
        <v>0</v>
      </c>
      <c r="AL23" s="63">
        <f>AK23+(AK23*'1.Premissas Receitas'!$B$19)</f>
        <v>0</v>
      </c>
      <c r="AM23" s="63">
        <f>AL23+(AL23*'1.Premissas Receitas'!$B$19)</f>
        <v>0</v>
      </c>
      <c r="AN23" s="63">
        <f>AM23+(AM23*'1.Premissas Receitas'!$B$19)</f>
        <v>0</v>
      </c>
      <c r="AO23" s="63">
        <f>AN23+(AN23*'1.Premissas Receitas'!$B$19)</f>
        <v>0</v>
      </c>
      <c r="AP23" s="63">
        <f>AO23+(AO23*'1.Premissas Receitas'!$B$19)</f>
        <v>0</v>
      </c>
      <c r="AQ23" s="63">
        <f>AP23+(AP23*'1.Premissas Receitas'!$G$18)</f>
        <v>0</v>
      </c>
      <c r="AR23" s="63">
        <f>AQ23+(AQ23*'1.Premissas Receitas'!$B$19)</f>
        <v>0</v>
      </c>
      <c r="AS23" s="63">
        <f>AR23+(AR23*'1.Premissas Receitas'!$B$19)</f>
        <v>0</v>
      </c>
      <c r="AT23" s="63">
        <f>AS23+(AS23*'1.Premissas Receitas'!$B$19)</f>
        <v>0</v>
      </c>
      <c r="AU23" s="63">
        <f>AT23+(AT23*'1.Premissas Receitas'!$B$19)</f>
        <v>0</v>
      </c>
      <c r="AV23" s="63">
        <f>AU23+(AU23*'1.Premissas Receitas'!$B$19)</f>
        <v>0</v>
      </c>
      <c r="AW23" s="63">
        <f>AV23+(AV23*'1.Premissas Receitas'!$B$19)</f>
        <v>0</v>
      </c>
      <c r="AX23" s="63">
        <f>AW23+(AW23*'1.Premissas Receitas'!$B$19)</f>
        <v>0</v>
      </c>
      <c r="AY23" s="63">
        <f>AX23+(AX23*'1.Premissas Receitas'!$B$19)</f>
        <v>0</v>
      </c>
      <c r="AZ23" s="63">
        <f>AY23+(AY23*'1.Premissas Receitas'!$B$19)</f>
        <v>0</v>
      </c>
      <c r="BA23" s="63">
        <f>AZ23+(AZ23*'1.Premissas Receitas'!$B$19)</f>
        <v>0</v>
      </c>
      <c r="BB23" s="63">
        <f>BA23+(BA23*'1.Premissas Receitas'!$B$19)</f>
        <v>0</v>
      </c>
      <c r="BC23" s="63">
        <f>BB23+(BB23*'1.Premissas Receitas'!$G$19)</f>
        <v>0</v>
      </c>
      <c r="BD23" s="63">
        <f>BC23+(BC23*'1.Premissas Receitas'!$B$19)</f>
        <v>0</v>
      </c>
      <c r="BE23" s="63">
        <f>BD23+(BD23*'1.Premissas Receitas'!$B$19)</f>
        <v>0</v>
      </c>
      <c r="BF23" s="63">
        <f>BE23+(BE23*'1.Premissas Receitas'!$B$19)</f>
        <v>0</v>
      </c>
      <c r="BG23" s="63">
        <f>BF23+(BF23*'1.Premissas Receitas'!$B$19)</f>
        <v>0</v>
      </c>
      <c r="BH23" s="63">
        <f>BG23+(BG23*'1.Premissas Receitas'!$B$19)</f>
        <v>0</v>
      </c>
      <c r="BI23" s="63">
        <f>BH23+(BH23*'1.Premissas Receitas'!$B$19)</f>
        <v>0</v>
      </c>
      <c r="BJ23" s="63">
        <f>BI23+(BI23*'1.Premissas Receitas'!$B$19)</f>
        <v>0</v>
      </c>
      <c r="BK23" s="63">
        <f>BJ23+(BJ23*'1.Premissas Receitas'!$B$19)</f>
        <v>0</v>
      </c>
      <c r="BL23" s="63">
        <f>BK23+(BK23*'1.Premissas Receitas'!$B$19)</f>
        <v>0</v>
      </c>
      <c r="BM23" s="63">
        <f>BL23+(BL23*'1.Premissas Receitas'!$B$19)</f>
        <v>0</v>
      </c>
      <c r="BN23" s="63">
        <f>BM23+(BM23*'1.Premissas Receitas'!$B$19)</f>
        <v>0</v>
      </c>
      <c r="BO23" s="49"/>
      <c r="BP23" s="62">
        <f t="shared" si="2"/>
        <v>0</v>
      </c>
      <c r="BQ23" s="62">
        <f t="shared" si="3"/>
        <v>0</v>
      </c>
      <c r="BR23" s="62">
        <f t="shared" si="4"/>
        <v>0</v>
      </c>
      <c r="BS23" s="62">
        <f t="shared" si="5"/>
        <v>0</v>
      </c>
      <c r="BT23" s="62">
        <f t="shared" si="6"/>
        <v>0</v>
      </c>
    </row>
    <row r="24" spans="1:72" ht="15.75" customHeight="1" x14ac:dyDescent="0.35">
      <c r="A24" s="20"/>
      <c r="B24" s="27"/>
      <c r="C24" s="62" t="str">
        <f>'1.Premissas Receitas'!A63</f>
        <v># Pay-per-use Produto/Serviço 1</v>
      </c>
      <c r="D24" s="27"/>
      <c r="E24" s="27"/>
      <c r="F24" s="20"/>
      <c r="G24" s="63">
        <f>'1.Premissas Receitas'!G63</f>
        <v>0</v>
      </c>
      <c r="H24" s="63">
        <f>G24+(G24*'1.Premissas Receitas'!$B$19)</f>
        <v>0</v>
      </c>
      <c r="I24" s="63">
        <f>H24+(H24*'1.Premissas Receitas'!$B$19)</f>
        <v>0</v>
      </c>
      <c r="J24" s="63">
        <f>I24+(I24*'1.Premissas Receitas'!$B$19)</f>
        <v>0</v>
      </c>
      <c r="K24" s="63">
        <f>J24+(J24*'1.Premissas Receitas'!$B$19)</f>
        <v>0</v>
      </c>
      <c r="L24" s="63">
        <f>K24+(K24*'1.Premissas Receitas'!$B$19)</f>
        <v>0</v>
      </c>
      <c r="M24" s="63">
        <f>L24+(L24*'1.Premissas Receitas'!$B$19)</f>
        <v>0</v>
      </c>
      <c r="N24" s="63">
        <f>M24+(M24*'1.Premissas Receitas'!$B$19)</f>
        <v>0</v>
      </c>
      <c r="O24" s="63">
        <f>N24+(N24*'1.Premissas Receitas'!$B$19)</f>
        <v>0</v>
      </c>
      <c r="P24" s="63">
        <f>O24+(O24*'1.Premissas Receitas'!$B$19)</f>
        <v>0</v>
      </c>
      <c r="Q24" s="63">
        <f>P24+(P24*'1.Premissas Receitas'!$B$19)</f>
        <v>0</v>
      </c>
      <c r="R24" s="63">
        <f>Q24+(Q24*'1.Premissas Receitas'!$B$19)</f>
        <v>0</v>
      </c>
      <c r="S24" s="63">
        <f>R24+(R24*'1.Premissas Receitas'!$G$16)</f>
        <v>0</v>
      </c>
      <c r="T24" s="63">
        <f>S24+(S24*'1.Premissas Receitas'!$B$19)</f>
        <v>0</v>
      </c>
      <c r="U24" s="63">
        <f>T24+(T24*'1.Premissas Receitas'!$B$19)</f>
        <v>0</v>
      </c>
      <c r="V24" s="63">
        <f>U24+(U24*'1.Premissas Receitas'!$B$19)</f>
        <v>0</v>
      </c>
      <c r="W24" s="63">
        <f>V24+(V24*'1.Premissas Receitas'!$B$19)</f>
        <v>0</v>
      </c>
      <c r="X24" s="63">
        <f>W24+(W24*'1.Premissas Receitas'!$B$19)</f>
        <v>0</v>
      </c>
      <c r="Y24" s="63">
        <f>X24+(X24*'1.Premissas Receitas'!$B$19)</f>
        <v>0</v>
      </c>
      <c r="Z24" s="63">
        <f>Y24+(Y24*'1.Premissas Receitas'!$B$19)</f>
        <v>0</v>
      </c>
      <c r="AA24" s="63">
        <f>Z24+(Z24*'1.Premissas Receitas'!$B$19)</f>
        <v>0</v>
      </c>
      <c r="AB24" s="63">
        <f>AA24+(AA24*'1.Premissas Receitas'!$B$19)</f>
        <v>0</v>
      </c>
      <c r="AC24" s="63">
        <f>AB24+(AB24*'1.Premissas Receitas'!$B$19)</f>
        <v>0</v>
      </c>
      <c r="AD24" s="63">
        <f>AC24+(AC24*'1.Premissas Receitas'!$B$19)</f>
        <v>0</v>
      </c>
      <c r="AE24" s="63">
        <f>AD24+(AD24*'1.Premissas Receitas'!$G$17)</f>
        <v>0</v>
      </c>
      <c r="AF24" s="63">
        <f>AE24+(AE24*'1.Premissas Receitas'!$B$19)</f>
        <v>0</v>
      </c>
      <c r="AG24" s="63">
        <f>AF24+(AF24*'1.Premissas Receitas'!$B$19)</f>
        <v>0</v>
      </c>
      <c r="AH24" s="63">
        <f>AG24+(AG24*'1.Premissas Receitas'!$B$19)</f>
        <v>0</v>
      </c>
      <c r="AI24" s="63">
        <f>AH24+(AH24*'1.Premissas Receitas'!$B$19)</f>
        <v>0</v>
      </c>
      <c r="AJ24" s="63">
        <f>AI24+(AI24*'1.Premissas Receitas'!$B$19)</f>
        <v>0</v>
      </c>
      <c r="AK24" s="63">
        <f>AJ24+(AJ24*'1.Premissas Receitas'!$B$19)</f>
        <v>0</v>
      </c>
      <c r="AL24" s="63">
        <f>AK24+(AK24*'1.Premissas Receitas'!$B$19)</f>
        <v>0</v>
      </c>
      <c r="AM24" s="63">
        <f>AL24+(AL24*'1.Premissas Receitas'!$B$19)</f>
        <v>0</v>
      </c>
      <c r="AN24" s="63">
        <f>AM24+(AM24*'1.Premissas Receitas'!$B$19)</f>
        <v>0</v>
      </c>
      <c r="AO24" s="63">
        <f>AN24+(AN24*'1.Premissas Receitas'!$B$19)</f>
        <v>0</v>
      </c>
      <c r="AP24" s="63">
        <f>AO24+(AO24*'1.Premissas Receitas'!$B$19)</f>
        <v>0</v>
      </c>
      <c r="AQ24" s="63">
        <f>AP24+(AP24*'1.Premissas Receitas'!$G$18)</f>
        <v>0</v>
      </c>
      <c r="AR24" s="63">
        <f>AQ24+(AQ24*'1.Premissas Receitas'!$B$19)</f>
        <v>0</v>
      </c>
      <c r="AS24" s="63">
        <f>AR24+(AR24*'1.Premissas Receitas'!$B$19)</f>
        <v>0</v>
      </c>
      <c r="AT24" s="63">
        <f>AS24+(AS24*'1.Premissas Receitas'!$B$19)</f>
        <v>0</v>
      </c>
      <c r="AU24" s="63">
        <f>AT24+(AT24*'1.Premissas Receitas'!$B$19)</f>
        <v>0</v>
      </c>
      <c r="AV24" s="63">
        <f>AU24+(AU24*'1.Premissas Receitas'!$B$19)</f>
        <v>0</v>
      </c>
      <c r="AW24" s="63">
        <f>AV24+(AV24*'1.Premissas Receitas'!$B$19)</f>
        <v>0</v>
      </c>
      <c r="AX24" s="63">
        <f>AW24+(AW24*'1.Premissas Receitas'!$B$19)</f>
        <v>0</v>
      </c>
      <c r="AY24" s="63">
        <f>AX24+(AX24*'1.Premissas Receitas'!$B$19)</f>
        <v>0</v>
      </c>
      <c r="AZ24" s="63">
        <f>AY24+(AY24*'1.Premissas Receitas'!$B$19)</f>
        <v>0</v>
      </c>
      <c r="BA24" s="63">
        <f>AZ24+(AZ24*'1.Premissas Receitas'!$B$19)</f>
        <v>0</v>
      </c>
      <c r="BB24" s="63">
        <f>BA24+(BA24*'1.Premissas Receitas'!$B$19)</f>
        <v>0</v>
      </c>
      <c r="BC24" s="63">
        <f>BB24+(BB24*'1.Premissas Receitas'!$G$19)</f>
        <v>0</v>
      </c>
      <c r="BD24" s="63">
        <f>BC24+(BC24*'1.Premissas Receitas'!$B$19)</f>
        <v>0</v>
      </c>
      <c r="BE24" s="63">
        <f>BD24+(BD24*'1.Premissas Receitas'!$B$19)</f>
        <v>0</v>
      </c>
      <c r="BF24" s="63">
        <f>BE24+(BE24*'1.Premissas Receitas'!$B$19)</f>
        <v>0</v>
      </c>
      <c r="BG24" s="63">
        <f>BF24+(BF24*'1.Premissas Receitas'!$B$19)</f>
        <v>0</v>
      </c>
      <c r="BH24" s="63">
        <f>BG24+(BG24*'1.Premissas Receitas'!$B$19)</f>
        <v>0</v>
      </c>
      <c r="BI24" s="63">
        <f>BH24+(BH24*'1.Premissas Receitas'!$B$19)</f>
        <v>0</v>
      </c>
      <c r="BJ24" s="63">
        <f>BI24+(BI24*'1.Premissas Receitas'!$B$19)</f>
        <v>0</v>
      </c>
      <c r="BK24" s="63">
        <f>BJ24+(BJ24*'1.Premissas Receitas'!$B$19)</f>
        <v>0</v>
      </c>
      <c r="BL24" s="63">
        <f>BK24+(BK24*'1.Premissas Receitas'!$B$19)</f>
        <v>0</v>
      </c>
      <c r="BM24" s="63">
        <f>BL24+(BL24*'1.Premissas Receitas'!$B$19)</f>
        <v>0</v>
      </c>
      <c r="BN24" s="63">
        <f>BM24+(BM24*'1.Premissas Receitas'!$B$19)</f>
        <v>0</v>
      </c>
      <c r="BO24" s="20"/>
      <c r="BP24" s="62">
        <f t="shared" si="2"/>
        <v>0</v>
      </c>
      <c r="BQ24" s="62">
        <f t="shared" si="3"/>
        <v>0</v>
      </c>
      <c r="BR24" s="62">
        <f t="shared" si="4"/>
        <v>0</v>
      </c>
      <c r="BS24" s="62">
        <f t="shared" si="5"/>
        <v>0</v>
      </c>
      <c r="BT24" s="62">
        <f t="shared" si="6"/>
        <v>0</v>
      </c>
    </row>
    <row r="25" spans="1:72" ht="15.75" customHeight="1" x14ac:dyDescent="0.35">
      <c r="A25" s="20"/>
      <c r="B25" s="27"/>
      <c r="C25" s="62" t="str">
        <f>'1.Premissas Receitas'!A64</f>
        <v># Pay-per-use Produto/Serviço 2</v>
      </c>
      <c r="D25" s="27"/>
      <c r="E25" s="27"/>
      <c r="F25" s="20"/>
      <c r="G25" s="63">
        <f>'1.Premissas Receitas'!G64</f>
        <v>0</v>
      </c>
      <c r="H25" s="63">
        <f>G25+(G25*'1.Premissas Receitas'!$B$19)</f>
        <v>0</v>
      </c>
      <c r="I25" s="63">
        <f>H25+(H25*'1.Premissas Receitas'!$B$19)</f>
        <v>0</v>
      </c>
      <c r="J25" s="63">
        <f>I25+(I25*'1.Premissas Receitas'!$B$19)</f>
        <v>0</v>
      </c>
      <c r="K25" s="63">
        <f>J25+(J25*'1.Premissas Receitas'!$B$19)</f>
        <v>0</v>
      </c>
      <c r="L25" s="63">
        <f>K25+(K25*'1.Premissas Receitas'!$B$19)</f>
        <v>0</v>
      </c>
      <c r="M25" s="63">
        <f>L25+(L25*'1.Premissas Receitas'!$B$19)</f>
        <v>0</v>
      </c>
      <c r="N25" s="63">
        <f>M25+(M25*'1.Premissas Receitas'!$B$19)</f>
        <v>0</v>
      </c>
      <c r="O25" s="63">
        <f>N25+(N25*'1.Premissas Receitas'!$B$19)</f>
        <v>0</v>
      </c>
      <c r="P25" s="63">
        <f>O25+(O25*'1.Premissas Receitas'!$B$19)</f>
        <v>0</v>
      </c>
      <c r="Q25" s="63">
        <f>P25+(P25*'1.Premissas Receitas'!$B$19)</f>
        <v>0</v>
      </c>
      <c r="R25" s="63">
        <f>Q25+(Q25*'1.Premissas Receitas'!$B$19)</f>
        <v>0</v>
      </c>
      <c r="S25" s="63">
        <f>R25+(R25*'1.Premissas Receitas'!$G$16)</f>
        <v>0</v>
      </c>
      <c r="T25" s="63">
        <f>S25+(S25*'1.Premissas Receitas'!$B$19)</f>
        <v>0</v>
      </c>
      <c r="U25" s="63">
        <f>T25+(T25*'1.Premissas Receitas'!$B$19)</f>
        <v>0</v>
      </c>
      <c r="V25" s="63">
        <f>U25+(U25*'1.Premissas Receitas'!$B$19)</f>
        <v>0</v>
      </c>
      <c r="W25" s="63">
        <f>V25+(V25*'1.Premissas Receitas'!$B$19)</f>
        <v>0</v>
      </c>
      <c r="X25" s="63">
        <f>W25+(W25*'1.Premissas Receitas'!$B$19)</f>
        <v>0</v>
      </c>
      <c r="Y25" s="63">
        <f>X25+(X25*'1.Premissas Receitas'!$B$19)</f>
        <v>0</v>
      </c>
      <c r="Z25" s="63">
        <f>Y25+(Y25*'1.Premissas Receitas'!$B$19)</f>
        <v>0</v>
      </c>
      <c r="AA25" s="63">
        <f>Z25+(Z25*'1.Premissas Receitas'!$B$19)</f>
        <v>0</v>
      </c>
      <c r="AB25" s="63">
        <f>AA25+(AA25*'1.Premissas Receitas'!$B$19)</f>
        <v>0</v>
      </c>
      <c r="AC25" s="63">
        <f>AB25+(AB25*'1.Premissas Receitas'!$B$19)</f>
        <v>0</v>
      </c>
      <c r="AD25" s="63">
        <f>AC25+(AC25*'1.Premissas Receitas'!$B$19)</f>
        <v>0</v>
      </c>
      <c r="AE25" s="63">
        <f>AD25+(AD25*'1.Premissas Receitas'!$G$17)</f>
        <v>0</v>
      </c>
      <c r="AF25" s="63">
        <f>AE25+(AE25*'1.Premissas Receitas'!$B$19)</f>
        <v>0</v>
      </c>
      <c r="AG25" s="63">
        <f>AF25+(AF25*'1.Premissas Receitas'!$B$19)</f>
        <v>0</v>
      </c>
      <c r="AH25" s="63">
        <f>AG25+(AG25*'1.Premissas Receitas'!$B$19)</f>
        <v>0</v>
      </c>
      <c r="AI25" s="63">
        <f>AH25+(AH25*'1.Premissas Receitas'!$B$19)</f>
        <v>0</v>
      </c>
      <c r="AJ25" s="63">
        <f>AI25+(AI25*'1.Premissas Receitas'!$B$19)</f>
        <v>0</v>
      </c>
      <c r="AK25" s="63">
        <f>AJ25+(AJ25*'1.Premissas Receitas'!$B$19)</f>
        <v>0</v>
      </c>
      <c r="AL25" s="63">
        <f>AK25+(AK25*'1.Premissas Receitas'!$B$19)</f>
        <v>0</v>
      </c>
      <c r="AM25" s="63">
        <f>AL25+(AL25*'1.Premissas Receitas'!$B$19)</f>
        <v>0</v>
      </c>
      <c r="AN25" s="63">
        <f>AM25+(AM25*'1.Premissas Receitas'!$B$19)</f>
        <v>0</v>
      </c>
      <c r="AO25" s="63">
        <f>AN25+(AN25*'1.Premissas Receitas'!$B$19)</f>
        <v>0</v>
      </c>
      <c r="AP25" s="63">
        <f>AO25+(AO25*'1.Premissas Receitas'!$B$19)</f>
        <v>0</v>
      </c>
      <c r="AQ25" s="63">
        <f>AP25+(AP25*'1.Premissas Receitas'!$G$18)</f>
        <v>0</v>
      </c>
      <c r="AR25" s="63">
        <f>AQ25+(AQ25*'1.Premissas Receitas'!$B$19)</f>
        <v>0</v>
      </c>
      <c r="AS25" s="63">
        <f>AR25+(AR25*'1.Premissas Receitas'!$B$19)</f>
        <v>0</v>
      </c>
      <c r="AT25" s="63">
        <f>AS25+(AS25*'1.Premissas Receitas'!$B$19)</f>
        <v>0</v>
      </c>
      <c r="AU25" s="63">
        <f>AT25+(AT25*'1.Premissas Receitas'!$B$19)</f>
        <v>0</v>
      </c>
      <c r="AV25" s="63">
        <f>AU25+(AU25*'1.Premissas Receitas'!$B$19)</f>
        <v>0</v>
      </c>
      <c r="AW25" s="63">
        <f>AV25+(AV25*'1.Premissas Receitas'!$B$19)</f>
        <v>0</v>
      </c>
      <c r="AX25" s="63">
        <f>AW25+(AW25*'1.Premissas Receitas'!$B$19)</f>
        <v>0</v>
      </c>
      <c r="AY25" s="63">
        <f>AX25+(AX25*'1.Premissas Receitas'!$B$19)</f>
        <v>0</v>
      </c>
      <c r="AZ25" s="63">
        <f>AY25+(AY25*'1.Premissas Receitas'!$B$19)</f>
        <v>0</v>
      </c>
      <c r="BA25" s="63">
        <f>AZ25+(AZ25*'1.Premissas Receitas'!$B$19)</f>
        <v>0</v>
      </c>
      <c r="BB25" s="63">
        <f>BA25+(BA25*'1.Premissas Receitas'!$B$19)</f>
        <v>0</v>
      </c>
      <c r="BC25" s="63">
        <f>BB25+(BB25*'1.Premissas Receitas'!$G$19)</f>
        <v>0</v>
      </c>
      <c r="BD25" s="63">
        <f>BC25+(BC25*'1.Premissas Receitas'!$B$19)</f>
        <v>0</v>
      </c>
      <c r="BE25" s="63">
        <f>BD25+(BD25*'1.Premissas Receitas'!$B$19)</f>
        <v>0</v>
      </c>
      <c r="BF25" s="63">
        <f>BE25+(BE25*'1.Premissas Receitas'!$B$19)</f>
        <v>0</v>
      </c>
      <c r="BG25" s="63">
        <f>BF25+(BF25*'1.Premissas Receitas'!$B$19)</f>
        <v>0</v>
      </c>
      <c r="BH25" s="63">
        <f>BG25+(BG25*'1.Premissas Receitas'!$B$19)</f>
        <v>0</v>
      </c>
      <c r="BI25" s="63">
        <f>BH25+(BH25*'1.Premissas Receitas'!$B$19)</f>
        <v>0</v>
      </c>
      <c r="BJ25" s="63">
        <f>BI25+(BI25*'1.Premissas Receitas'!$B$19)</f>
        <v>0</v>
      </c>
      <c r="BK25" s="63">
        <f>BJ25+(BJ25*'1.Premissas Receitas'!$B$19)</f>
        <v>0</v>
      </c>
      <c r="BL25" s="63">
        <f>BK25+(BK25*'1.Premissas Receitas'!$B$19)</f>
        <v>0</v>
      </c>
      <c r="BM25" s="63">
        <f>BL25+(BL25*'1.Premissas Receitas'!$B$19)</f>
        <v>0</v>
      </c>
      <c r="BN25" s="63">
        <f>BM25+(BM25*'1.Premissas Receitas'!$B$19)</f>
        <v>0</v>
      </c>
      <c r="BO25" s="20"/>
      <c r="BP25" s="62">
        <f t="shared" si="2"/>
        <v>0</v>
      </c>
      <c r="BQ25" s="62">
        <f t="shared" si="3"/>
        <v>0</v>
      </c>
      <c r="BR25" s="62">
        <f t="shared" si="4"/>
        <v>0</v>
      </c>
      <c r="BS25" s="62">
        <f t="shared" si="5"/>
        <v>0</v>
      </c>
      <c r="BT25" s="62">
        <f t="shared" si="6"/>
        <v>0</v>
      </c>
    </row>
    <row r="26" spans="1:72" ht="15.75" customHeight="1" x14ac:dyDescent="0.35">
      <c r="A26" s="20"/>
      <c r="B26" s="27"/>
      <c r="C26" s="62" t="str">
        <f>'1.Premissas Receitas'!A65</f>
        <v># Pay-per-use Produto/Serviço 3</v>
      </c>
      <c r="D26" s="27"/>
      <c r="E26" s="27"/>
      <c r="F26" s="20"/>
      <c r="G26" s="63">
        <f>'1.Premissas Receitas'!G65</f>
        <v>0</v>
      </c>
      <c r="H26" s="63">
        <f>G26+(G26*'1.Premissas Receitas'!$B$19)</f>
        <v>0</v>
      </c>
      <c r="I26" s="63">
        <f>H26+(H26*'1.Premissas Receitas'!$B$19)</f>
        <v>0</v>
      </c>
      <c r="J26" s="63">
        <f>I26+(I26*'1.Premissas Receitas'!$B$19)</f>
        <v>0</v>
      </c>
      <c r="K26" s="63">
        <f>J26+(J26*'1.Premissas Receitas'!$B$19)</f>
        <v>0</v>
      </c>
      <c r="L26" s="63">
        <f>K26+(K26*'1.Premissas Receitas'!$B$19)</f>
        <v>0</v>
      </c>
      <c r="M26" s="63">
        <f>L26+(L26*'1.Premissas Receitas'!$B$19)</f>
        <v>0</v>
      </c>
      <c r="N26" s="63">
        <f>M26+(M26*'1.Premissas Receitas'!$B$19)</f>
        <v>0</v>
      </c>
      <c r="O26" s="63">
        <f>N26+(N26*'1.Premissas Receitas'!$B$19)</f>
        <v>0</v>
      </c>
      <c r="P26" s="63">
        <f>O26+(O26*'1.Premissas Receitas'!$B$19)</f>
        <v>0</v>
      </c>
      <c r="Q26" s="63">
        <f>P26+(P26*'1.Premissas Receitas'!$B$19)</f>
        <v>0</v>
      </c>
      <c r="R26" s="63">
        <f>Q26+(Q26*'1.Premissas Receitas'!$B$19)</f>
        <v>0</v>
      </c>
      <c r="S26" s="63">
        <f>R26+(R26*'1.Premissas Receitas'!$G$16)</f>
        <v>0</v>
      </c>
      <c r="T26" s="63">
        <f>S26+(S26*'1.Premissas Receitas'!$B$19)</f>
        <v>0</v>
      </c>
      <c r="U26" s="63">
        <f>T26+(T26*'1.Premissas Receitas'!$B$19)</f>
        <v>0</v>
      </c>
      <c r="V26" s="63">
        <f>U26+(U26*'1.Premissas Receitas'!$B$19)</f>
        <v>0</v>
      </c>
      <c r="W26" s="63">
        <f>V26+(V26*'1.Premissas Receitas'!$B$19)</f>
        <v>0</v>
      </c>
      <c r="X26" s="63">
        <f>W26+(W26*'1.Premissas Receitas'!$B$19)</f>
        <v>0</v>
      </c>
      <c r="Y26" s="63">
        <f>X26+(X26*'1.Premissas Receitas'!$B$19)</f>
        <v>0</v>
      </c>
      <c r="Z26" s="63">
        <f>Y26+(Y26*'1.Premissas Receitas'!$B$19)</f>
        <v>0</v>
      </c>
      <c r="AA26" s="63">
        <f>Z26+(Z26*'1.Premissas Receitas'!$B$19)</f>
        <v>0</v>
      </c>
      <c r="AB26" s="63">
        <f>AA26+(AA26*'1.Premissas Receitas'!$B$19)</f>
        <v>0</v>
      </c>
      <c r="AC26" s="63">
        <f>AB26+(AB26*'1.Premissas Receitas'!$B$19)</f>
        <v>0</v>
      </c>
      <c r="AD26" s="63">
        <f>AC26+(AC26*'1.Premissas Receitas'!$B$19)</f>
        <v>0</v>
      </c>
      <c r="AE26" s="63">
        <f>AD26+(AD26*'1.Premissas Receitas'!$G$17)</f>
        <v>0</v>
      </c>
      <c r="AF26" s="63">
        <f>AE26+(AE26*'1.Premissas Receitas'!$B$19)</f>
        <v>0</v>
      </c>
      <c r="AG26" s="63">
        <f>AF26+(AF26*'1.Premissas Receitas'!$B$19)</f>
        <v>0</v>
      </c>
      <c r="AH26" s="63">
        <f>AG26+(AG26*'1.Premissas Receitas'!$B$19)</f>
        <v>0</v>
      </c>
      <c r="AI26" s="63">
        <f>AH26+(AH26*'1.Premissas Receitas'!$B$19)</f>
        <v>0</v>
      </c>
      <c r="AJ26" s="63">
        <f>AI26+(AI26*'1.Premissas Receitas'!$B$19)</f>
        <v>0</v>
      </c>
      <c r="AK26" s="63">
        <f>AJ26+(AJ26*'1.Premissas Receitas'!$B$19)</f>
        <v>0</v>
      </c>
      <c r="AL26" s="63">
        <f>AK26+(AK26*'1.Premissas Receitas'!$B$19)</f>
        <v>0</v>
      </c>
      <c r="AM26" s="63">
        <f>AL26+(AL26*'1.Premissas Receitas'!$B$19)</f>
        <v>0</v>
      </c>
      <c r="AN26" s="63">
        <f>AM26+(AM26*'1.Premissas Receitas'!$B$19)</f>
        <v>0</v>
      </c>
      <c r="AO26" s="63">
        <f>AN26+(AN26*'1.Premissas Receitas'!$B$19)</f>
        <v>0</v>
      </c>
      <c r="AP26" s="63">
        <f>AO26+(AO26*'1.Premissas Receitas'!$B$19)</f>
        <v>0</v>
      </c>
      <c r="AQ26" s="63">
        <f>AP26+(AP26*'1.Premissas Receitas'!$G$18)</f>
        <v>0</v>
      </c>
      <c r="AR26" s="63">
        <f>AQ26+(AQ26*'1.Premissas Receitas'!$B$19)</f>
        <v>0</v>
      </c>
      <c r="AS26" s="63">
        <f>AR26+(AR26*'1.Premissas Receitas'!$B$19)</f>
        <v>0</v>
      </c>
      <c r="AT26" s="63">
        <f>AS26+(AS26*'1.Premissas Receitas'!$B$19)</f>
        <v>0</v>
      </c>
      <c r="AU26" s="63">
        <f>AT26+(AT26*'1.Premissas Receitas'!$B$19)</f>
        <v>0</v>
      </c>
      <c r="AV26" s="63">
        <f>AU26+(AU26*'1.Premissas Receitas'!$B$19)</f>
        <v>0</v>
      </c>
      <c r="AW26" s="63">
        <f>AV26+(AV26*'1.Premissas Receitas'!$B$19)</f>
        <v>0</v>
      </c>
      <c r="AX26" s="63">
        <f>AW26+(AW26*'1.Premissas Receitas'!$B$19)</f>
        <v>0</v>
      </c>
      <c r="AY26" s="63">
        <f>AX26+(AX26*'1.Premissas Receitas'!$B$19)</f>
        <v>0</v>
      </c>
      <c r="AZ26" s="63">
        <f>AY26+(AY26*'1.Premissas Receitas'!$B$19)</f>
        <v>0</v>
      </c>
      <c r="BA26" s="63">
        <f>AZ26+(AZ26*'1.Premissas Receitas'!$B$19)</f>
        <v>0</v>
      </c>
      <c r="BB26" s="63">
        <f>BA26+(BA26*'1.Premissas Receitas'!$B$19)</f>
        <v>0</v>
      </c>
      <c r="BC26" s="63">
        <f>BB26+(BB26*'1.Premissas Receitas'!$G$19)</f>
        <v>0</v>
      </c>
      <c r="BD26" s="63">
        <f>BC26+(BC26*'1.Premissas Receitas'!$B$19)</f>
        <v>0</v>
      </c>
      <c r="BE26" s="63">
        <f>BD26+(BD26*'1.Premissas Receitas'!$B$19)</f>
        <v>0</v>
      </c>
      <c r="BF26" s="63">
        <f>BE26+(BE26*'1.Premissas Receitas'!$B$19)</f>
        <v>0</v>
      </c>
      <c r="BG26" s="63">
        <f>BF26+(BF26*'1.Premissas Receitas'!$B$19)</f>
        <v>0</v>
      </c>
      <c r="BH26" s="63">
        <f>BG26+(BG26*'1.Premissas Receitas'!$B$19)</f>
        <v>0</v>
      </c>
      <c r="BI26" s="63">
        <f>BH26+(BH26*'1.Premissas Receitas'!$B$19)</f>
        <v>0</v>
      </c>
      <c r="BJ26" s="63">
        <f>BI26+(BI26*'1.Premissas Receitas'!$B$19)</f>
        <v>0</v>
      </c>
      <c r="BK26" s="63">
        <f>BJ26+(BJ26*'1.Premissas Receitas'!$B$19)</f>
        <v>0</v>
      </c>
      <c r="BL26" s="63">
        <f>BK26+(BK26*'1.Premissas Receitas'!$B$19)</f>
        <v>0</v>
      </c>
      <c r="BM26" s="63">
        <f>BL26+(BL26*'1.Premissas Receitas'!$B$19)</f>
        <v>0</v>
      </c>
      <c r="BN26" s="63">
        <f>BM26+(BM26*'1.Premissas Receitas'!$B$19)</f>
        <v>0</v>
      </c>
      <c r="BO26" s="20"/>
      <c r="BP26" s="62">
        <f t="shared" si="2"/>
        <v>0</v>
      </c>
      <c r="BQ26" s="62">
        <f t="shared" si="3"/>
        <v>0</v>
      </c>
      <c r="BR26" s="62">
        <f t="shared" si="4"/>
        <v>0</v>
      </c>
      <c r="BS26" s="62">
        <f t="shared" si="5"/>
        <v>0</v>
      </c>
      <c r="BT26" s="62">
        <f t="shared" si="6"/>
        <v>0</v>
      </c>
    </row>
    <row r="27" spans="1:72" ht="15.75" customHeight="1" x14ac:dyDescent="0.35">
      <c r="A27" s="20"/>
      <c r="B27" s="64" t="s">
        <v>152</v>
      </c>
      <c r="C27" s="64"/>
      <c r="D27" s="64"/>
      <c r="E27" s="64"/>
      <c r="F27" s="20"/>
      <c r="G27" s="65">
        <f t="shared" ref="G27:AL27" si="7">SUM(G9:G26)</f>
        <v>4.666666666666667</v>
      </c>
      <c r="H27" s="65">
        <f t="shared" si="7"/>
        <v>4.8066666666666666</v>
      </c>
      <c r="I27" s="65">
        <f t="shared" si="7"/>
        <v>4.9508666666666663</v>
      </c>
      <c r="J27" s="65">
        <f t="shared" si="7"/>
        <v>5.0993926666666667</v>
      </c>
      <c r="K27" s="65">
        <f t="shared" si="7"/>
        <v>5.2523744466666669</v>
      </c>
      <c r="L27" s="65">
        <f t="shared" si="7"/>
        <v>5.4099456800666665</v>
      </c>
      <c r="M27" s="65">
        <f t="shared" si="7"/>
        <v>5.5722440504686661</v>
      </c>
      <c r="N27" s="65">
        <f t="shared" si="7"/>
        <v>5.739411371982726</v>
      </c>
      <c r="O27" s="65">
        <f t="shared" si="7"/>
        <v>5.9115937131422083</v>
      </c>
      <c r="P27" s="65">
        <f t="shared" si="7"/>
        <v>6.088941524536474</v>
      </c>
      <c r="Q27" s="65">
        <f t="shared" si="7"/>
        <v>6.2716097702725682</v>
      </c>
      <c r="R27" s="65">
        <f t="shared" si="7"/>
        <v>6.4597580633807459</v>
      </c>
      <c r="S27" s="65">
        <f t="shared" si="7"/>
        <v>9.0436612887330448</v>
      </c>
      <c r="T27" s="65">
        <f t="shared" si="7"/>
        <v>9.3149711273950349</v>
      </c>
      <c r="U27" s="65">
        <f t="shared" si="7"/>
        <v>9.5944202612168858</v>
      </c>
      <c r="V27" s="65">
        <f t="shared" si="7"/>
        <v>9.8822528690533922</v>
      </c>
      <c r="W27" s="65">
        <f t="shared" si="7"/>
        <v>10.178720455124994</v>
      </c>
      <c r="X27" s="65">
        <f t="shared" si="7"/>
        <v>10.484082068778743</v>
      </c>
      <c r="Y27" s="65">
        <f t="shared" si="7"/>
        <v>10.798604530842105</v>
      </c>
      <c r="Z27" s="65">
        <f t="shared" si="7"/>
        <v>11.122562666767369</v>
      </c>
      <c r="AA27" s="65">
        <f t="shared" si="7"/>
        <v>11.456239546770389</v>
      </c>
      <c r="AB27" s="65">
        <f t="shared" si="7"/>
        <v>11.799926733173502</v>
      </c>
      <c r="AC27" s="65">
        <f t="shared" si="7"/>
        <v>12.153924535168706</v>
      </c>
      <c r="AD27" s="65">
        <f t="shared" si="7"/>
        <v>12.518542271223767</v>
      </c>
      <c r="AE27" s="65">
        <f t="shared" si="7"/>
        <v>16.274104952590896</v>
      </c>
      <c r="AF27" s="65">
        <f t="shared" si="7"/>
        <v>16.762328101168624</v>
      </c>
      <c r="AG27" s="65">
        <f t="shared" si="7"/>
        <v>17.265197944203681</v>
      </c>
      <c r="AH27" s="65">
        <f t="shared" si="7"/>
        <v>17.783153882529792</v>
      </c>
      <c r="AI27" s="65">
        <f t="shared" si="7"/>
        <v>18.316648499005687</v>
      </c>
      <c r="AJ27" s="65">
        <f t="shared" si="7"/>
        <v>18.866147953975855</v>
      </c>
      <c r="AK27" s="65">
        <f t="shared" si="7"/>
        <v>19.432132392595129</v>
      </c>
      <c r="AL27" s="65">
        <f t="shared" si="7"/>
        <v>20.015096364372983</v>
      </c>
      <c r="AM27" s="65">
        <f t="shared" ref="AM27:BN27" si="8">SUM(AM9:AM26)</f>
        <v>20.615549255304174</v>
      </c>
      <c r="AN27" s="65">
        <f t="shared" si="8"/>
        <v>21.2340157329633</v>
      </c>
      <c r="AO27" s="65">
        <f t="shared" si="8"/>
        <v>21.871036204952198</v>
      </c>
      <c r="AP27" s="65">
        <f t="shared" si="8"/>
        <v>22.52716729110076</v>
      </c>
      <c r="AQ27" s="65">
        <f t="shared" si="8"/>
        <v>27.032600749320913</v>
      </c>
      <c r="AR27" s="65">
        <f t="shared" si="8"/>
        <v>27.843578771800541</v>
      </c>
      <c r="AS27" s="65">
        <f t="shared" si="8"/>
        <v>28.67888613495456</v>
      </c>
      <c r="AT27" s="65">
        <f t="shared" si="8"/>
        <v>29.539252719003194</v>
      </c>
      <c r="AU27" s="65">
        <f t="shared" si="8"/>
        <v>30.425430300573289</v>
      </c>
      <c r="AV27" s="65">
        <f t="shared" si="8"/>
        <v>31.338193209590493</v>
      </c>
      <c r="AW27" s="65">
        <f t="shared" si="8"/>
        <v>32.278339005878202</v>
      </c>
      <c r="AX27" s="65">
        <f t="shared" si="8"/>
        <v>33.246689176054545</v>
      </c>
      <c r="AY27" s="65">
        <f t="shared" si="8"/>
        <v>34.244089851336184</v>
      </c>
      <c r="AZ27" s="65">
        <f t="shared" si="8"/>
        <v>35.271412546876263</v>
      </c>
      <c r="BA27" s="65">
        <f t="shared" si="8"/>
        <v>36.329554923282558</v>
      </c>
      <c r="BB27" s="65">
        <f t="shared" si="8"/>
        <v>37.419441570981036</v>
      </c>
      <c r="BC27" s="65">
        <f t="shared" si="8"/>
        <v>43.032357806628184</v>
      </c>
      <c r="BD27" s="65">
        <f t="shared" si="8"/>
        <v>44.323328540827035</v>
      </c>
      <c r="BE27" s="65">
        <f t="shared" si="8"/>
        <v>45.653028397051848</v>
      </c>
      <c r="BF27" s="65">
        <f t="shared" si="8"/>
        <v>47.022619248963402</v>
      </c>
      <c r="BG27" s="65">
        <f t="shared" si="8"/>
        <v>48.433297826432309</v>
      </c>
      <c r="BH27" s="65">
        <f t="shared" si="8"/>
        <v>49.886296761225275</v>
      </c>
      <c r="BI27" s="65">
        <f t="shared" si="8"/>
        <v>51.382885664062037</v>
      </c>
      <c r="BJ27" s="65">
        <f t="shared" si="8"/>
        <v>52.924372233983895</v>
      </c>
      <c r="BK27" s="65">
        <f t="shared" si="8"/>
        <v>54.512103401003408</v>
      </c>
      <c r="BL27" s="65">
        <f t="shared" si="8"/>
        <v>56.147466503033506</v>
      </c>
      <c r="BM27" s="65">
        <f t="shared" si="8"/>
        <v>57.831890498124523</v>
      </c>
      <c r="BN27" s="65">
        <f t="shared" si="8"/>
        <v>59.56684721306825</v>
      </c>
      <c r="BO27" s="20"/>
      <c r="BP27" s="65">
        <f>SUM(BP9:BP26)</f>
        <v>66.229471287183387</v>
      </c>
      <c r="BQ27" s="65">
        <f>SUM(BQ9:BQ26)</f>
        <v>119.30424706551489</v>
      </c>
      <c r="BR27" s="65">
        <f>SUM(BR9:BR26)</f>
        <v>230.96257857476309</v>
      </c>
      <c r="BS27" s="65">
        <f>SUM(BS9:BS26)</f>
        <v>383.64746895965175</v>
      </c>
      <c r="BT27" s="65">
        <f>SUM(BT9:BT26)</f>
        <v>610.71649409440374</v>
      </c>
    </row>
    <row r="28" spans="1:72" ht="15.75" customHeight="1" x14ac:dyDescent="0.3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</row>
    <row r="29" spans="1:72" ht="15.75" customHeight="1" x14ac:dyDescent="0.35">
      <c r="A29" s="20"/>
      <c r="B29" s="30" t="s">
        <v>153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</row>
    <row r="30" spans="1:72" ht="15.75" customHeight="1" outlineLevel="1" x14ac:dyDescent="0.35">
      <c r="A30" s="20"/>
      <c r="B30" s="20"/>
      <c r="C30" s="20" t="str">
        <f>C9</f>
        <v># de clientes Assinatura Fremium</v>
      </c>
      <c r="D30" s="20"/>
      <c r="E30" s="20"/>
      <c r="F30" s="20"/>
      <c r="G30" s="49"/>
      <c r="H30" s="62">
        <f>G9*'1.Premissas Receitas'!$B$30</f>
        <v>0.03</v>
      </c>
      <c r="I30" s="62">
        <f>H9*'1.Premissas Receitas'!$B$30</f>
        <v>3.09E-2</v>
      </c>
      <c r="J30" s="62">
        <f>I9*'1.Premissas Receitas'!$B$30</f>
        <v>3.1826999999999994E-2</v>
      </c>
      <c r="K30" s="62">
        <f>J9*'1.Premissas Receitas'!$B$30</f>
        <v>3.2781810000000002E-2</v>
      </c>
      <c r="L30" s="62">
        <f>K9*'1.Premissas Receitas'!$B$30</f>
        <v>3.3765264299999993E-2</v>
      </c>
      <c r="M30" s="62">
        <f>L9*'1.Premissas Receitas'!$B$30</f>
        <v>3.4778222228999997E-2</v>
      </c>
      <c r="N30" s="62">
        <f>M9*'1.Premissas Receitas'!$B$30</f>
        <v>3.5821568895869994E-2</v>
      </c>
      <c r="O30" s="62">
        <f>N9*'1.Premissas Receitas'!$B$30</f>
        <v>3.6896215962746101E-2</v>
      </c>
      <c r="P30" s="62">
        <f>O9*'1.Premissas Receitas'!$B$30</f>
        <v>3.8003102441628481E-2</v>
      </c>
      <c r="Q30" s="62">
        <f>P9*'1.Premissas Receitas'!$B$30</f>
        <v>3.9143195514877341E-2</v>
      </c>
      <c r="R30" s="62">
        <f>Q9*'1.Premissas Receitas'!$B$30</f>
        <v>4.0317491380323658E-2</v>
      </c>
      <c r="S30" s="62">
        <f>R9*'1.Premissas Receitas'!$B$30</f>
        <v>4.1527016121733366E-2</v>
      </c>
      <c r="T30" s="62">
        <f>S9*'1.Premissas Receitas'!$B$30</f>
        <v>5.8137822570426718E-2</v>
      </c>
      <c r="U30" s="62">
        <f>T9*'1.Premissas Receitas'!$B$30</f>
        <v>5.9881957247539516E-2</v>
      </c>
      <c r="V30" s="62">
        <f>U9*'1.Premissas Receitas'!$B$30</f>
        <v>6.1678415964965698E-2</v>
      </c>
      <c r="W30" s="62">
        <f>V9*'1.Premissas Receitas'!$B$30</f>
        <v>6.3528768443914668E-2</v>
      </c>
      <c r="X30" s="62">
        <f>W9*'1.Premissas Receitas'!$B$30</f>
        <v>6.543463149723211E-2</v>
      </c>
      <c r="Y30" s="62">
        <f>X9*'1.Premissas Receitas'!$B$30</f>
        <v>6.739767044214906E-2</v>
      </c>
      <c r="Z30" s="62">
        <f>Y9*'1.Premissas Receitas'!$B$30</f>
        <v>6.9419600555413533E-2</v>
      </c>
      <c r="AA30" s="62">
        <f>Z9*'1.Premissas Receitas'!$B$30</f>
        <v>7.150218857207595E-2</v>
      </c>
      <c r="AB30" s="62">
        <f>AA9*'1.Premissas Receitas'!$B$30</f>
        <v>7.3647254229238221E-2</v>
      </c>
      <c r="AC30" s="62">
        <f>AB9*'1.Premissas Receitas'!$B$30</f>
        <v>7.5856671856115374E-2</v>
      </c>
      <c r="AD30" s="62">
        <f>AC9*'1.Premissas Receitas'!$B$30</f>
        <v>7.8132372011798845E-2</v>
      </c>
      <c r="AE30" s="62">
        <f>AD9*'1.Premissas Receitas'!$B$30</f>
        <v>8.0476343172152812E-2</v>
      </c>
      <c r="AF30" s="62">
        <f>AE9*'1.Premissas Receitas'!$B$30</f>
        <v>0.10461924612379865</v>
      </c>
      <c r="AG30" s="62">
        <f>AF9*'1.Premissas Receitas'!$B$30</f>
        <v>0.10775782350751262</v>
      </c>
      <c r="AH30" s="62">
        <f>AG9*'1.Premissas Receitas'!$B$30</f>
        <v>0.110990558212738</v>
      </c>
      <c r="AI30" s="62">
        <f>AH9*'1.Premissas Receitas'!$B$30</f>
        <v>0.11432027495912013</v>
      </c>
      <c r="AJ30" s="62">
        <f>AI9*'1.Premissas Receitas'!$B$30</f>
        <v>0.11774988320789374</v>
      </c>
      <c r="AK30" s="62">
        <f>AJ9*'1.Premissas Receitas'!$B$30</f>
        <v>0.12128237970413054</v>
      </c>
      <c r="AL30" s="62">
        <f>AK9*'1.Premissas Receitas'!$B$30</f>
        <v>0.12492085109525444</v>
      </c>
      <c r="AM30" s="62">
        <f>AL9*'1.Premissas Receitas'!$B$30</f>
        <v>0.12866847662811207</v>
      </c>
      <c r="AN30" s="62">
        <f>AM9*'1.Premissas Receitas'!$B$30</f>
        <v>0.13252853092695543</v>
      </c>
      <c r="AO30" s="62">
        <f>AN9*'1.Premissas Receitas'!$B$30</f>
        <v>0.1365043868547641</v>
      </c>
      <c r="AP30" s="62">
        <f>AO9*'1.Premissas Receitas'!$B$30</f>
        <v>0.14059951846040702</v>
      </c>
      <c r="AQ30" s="62">
        <f>AP9*'1.Premissas Receitas'!$B$30</f>
        <v>0.14481750401421922</v>
      </c>
      <c r="AR30" s="62">
        <f>AQ9*'1.Premissas Receitas'!$B$30</f>
        <v>0.17378100481706307</v>
      </c>
      <c r="AS30" s="62">
        <f>AR9*'1.Premissas Receitas'!$B$30</f>
        <v>0.17899443496157497</v>
      </c>
      <c r="AT30" s="62">
        <f>AS9*'1.Premissas Receitas'!$B$30</f>
        <v>0.18436426801042219</v>
      </c>
      <c r="AU30" s="62">
        <f>AT9*'1.Premissas Receitas'!$B$30</f>
        <v>0.18989519605073485</v>
      </c>
      <c r="AV30" s="62">
        <f>AU9*'1.Premissas Receitas'!$B$30</f>
        <v>0.1955920519322569</v>
      </c>
      <c r="AW30" s="62">
        <f>AV9*'1.Premissas Receitas'!$B$30</f>
        <v>0.20145981349022463</v>
      </c>
      <c r="AX30" s="62">
        <f>AW9*'1.Premissas Receitas'!$B$30</f>
        <v>0.20750360789493136</v>
      </c>
      <c r="AY30" s="62">
        <f>AX9*'1.Premissas Receitas'!$B$30</f>
        <v>0.21372871613177929</v>
      </c>
      <c r="AZ30" s="62">
        <f>AY9*'1.Premissas Receitas'!$B$30</f>
        <v>0.22014057761573269</v>
      </c>
      <c r="BA30" s="62">
        <f>AZ9*'1.Premissas Receitas'!$B$30</f>
        <v>0.22674479494420466</v>
      </c>
      <c r="BB30" s="62">
        <f>BA9*'1.Premissas Receitas'!$B$30</f>
        <v>0.23354713879253081</v>
      </c>
      <c r="BC30" s="62">
        <f>BB9*'1.Premissas Receitas'!$B$30</f>
        <v>0.24055355295630673</v>
      </c>
      <c r="BD30" s="62">
        <f>BC9*'1.Premissas Receitas'!$B$30</f>
        <v>0.27663658589975276</v>
      </c>
      <c r="BE30" s="62">
        <f>BD9*'1.Premissas Receitas'!$B$30</f>
        <v>0.28493568347674536</v>
      </c>
      <c r="BF30" s="62">
        <f>BE9*'1.Premissas Receitas'!$B$30</f>
        <v>0.29348375398104776</v>
      </c>
      <c r="BG30" s="62">
        <f>BF9*'1.Premissas Receitas'!$B$30</f>
        <v>0.30228826660047919</v>
      </c>
      <c r="BH30" s="62">
        <f>BG9*'1.Premissas Receitas'!$B$30</f>
        <v>0.31135691459849357</v>
      </c>
      <c r="BI30" s="62">
        <f>BH9*'1.Premissas Receitas'!$B$30</f>
        <v>0.32069762203644836</v>
      </c>
      <c r="BJ30" s="62">
        <f>BI9*'1.Premissas Receitas'!$B$30</f>
        <v>0.33031855069754179</v>
      </c>
      <c r="BK30" s="62">
        <f>BJ9*'1.Premissas Receitas'!$B$30</f>
        <v>0.34022810721846802</v>
      </c>
      <c r="BL30" s="62">
        <f>BK9*'1.Premissas Receitas'!$B$30</f>
        <v>0.3504349504350221</v>
      </c>
      <c r="BM30" s="62">
        <f>BL9*'1.Premissas Receitas'!$B$30</f>
        <v>0.36094799894807272</v>
      </c>
      <c r="BN30" s="49"/>
      <c r="BO30" s="49"/>
      <c r="BP30" s="62">
        <f t="shared" ref="BP30:BP35" si="9">SUM(G30:R30)</f>
        <v>0.38423387072444548</v>
      </c>
      <c r="BQ30" s="62">
        <f t="shared" ref="BQ30:BQ35" si="10">SUM(T30:AD30)</f>
        <v>0.74461735339086954</v>
      </c>
      <c r="BR30" s="62">
        <f t="shared" ref="BR30:BR35" si="11">SUM(AE30:AP30)</f>
        <v>1.4204182728528396</v>
      </c>
      <c r="BS30" s="62">
        <f t="shared" ref="BS30:BS35" si="12">SUM(AQ30:BB30)</f>
        <v>2.3705691086556748</v>
      </c>
      <c r="BT30" s="62">
        <f t="shared" ref="BT30:BT35" si="13">SUM(BC30:BN30)</f>
        <v>3.4118819868483783</v>
      </c>
    </row>
    <row r="31" spans="1:72" ht="15.75" customHeight="1" outlineLevel="1" x14ac:dyDescent="0.35">
      <c r="A31" s="20"/>
      <c r="B31" s="20"/>
      <c r="C31" s="20" t="str">
        <f>C10</f>
        <v># de clientes Assinatura 1</v>
      </c>
      <c r="D31" s="20"/>
      <c r="E31" s="20"/>
      <c r="F31" s="20"/>
      <c r="G31" s="49"/>
      <c r="H31" s="62">
        <f>G10*'1.Premissas Receitas'!$B$30</f>
        <v>2.0999999999999998E-2</v>
      </c>
      <c r="I31" s="62">
        <f>H10*'1.Premissas Receitas'!$B$30</f>
        <v>2.163E-2</v>
      </c>
      <c r="J31" s="62">
        <f>I10*'1.Premissas Receitas'!$B$30</f>
        <v>2.2278900000000001E-2</v>
      </c>
      <c r="K31" s="62">
        <f>J10*'1.Premissas Receitas'!$B$30</f>
        <v>2.2947267E-2</v>
      </c>
      <c r="L31" s="62">
        <f>K10*'1.Premissas Receitas'!$B$30</f>
        <v>2.3635685010000001E-2</v>
      </c>
      <c r="M31" s="62">
        <f>L10*'1.Premissas Receitas'!$B$30</f>
        <v>2.43447555603E-2</v>
      </c>
      <c r="N31" s="62">
        <f>M10*'1.Premissas Receitas'!$B$30</f>
        <v>2.5075098227109002E-2</v>
      </c>
      <c r="O31" s="62">
        <f>N10*'1.Premissas Receitas'!$B$30</f>
        <v>2.5827351173922271E-2</v>
      </c>
      <c r="P31" s="62">
        <f>O10*'1.Premissas Receitas'!$B$30</f>
        <v>2.6602171709139939E-2</v>
      </c>
      <c r="Q31" s="62">
        <f>P10*'1.Premissas Receitas'!$B$30</f>
        <v>2.7400236860414137E-2</v>
      </c>
      <c r="R31" s="62">
        <f>Q10*'1.Premissas Receitas'!$B$30</f>
        <v>2.8222243966226562E-2</v>
      </c>
      <c r="S31" s="62">
        <f>R10*'1.Premissas Receitas'!$B$30</f>
        <v>2.9068911285213359E-2</v>
      </c>
      <c r="T31" s="62">
        <f>S10*'1.Premissas Receitas'!$B$30</f>
        <v>4.0696475799298699E-2</v>
      </c>
      <c r="U31" s="62">
        <f>T10*'1.Premissas Receitas'!$B$30</f>
        <v>4.1917370073277657E-2</v>
      </c>
      <c r="V31" s="62">
        <f>U10*'1.Premissas Receitas'!$B$30</f>
        <v>4.3174891175475988E-2</v>
      </c>
      <c r="W31" s="62">
        <f>V10*'1.Premissas Receitas'!$B$30</f>
        <v>4.4470137910740268E-2</v>
      </c>
      <c r="X31" s="62">
        <f>W10*'1.Premissas Receitas'!$B$30</f>
        <v>4.5804242048062473E-2</v>
      </c>
      <c r="Y31" s="62">
        <f>X10*'1.Premissas Receitas'!$B$30</f>
        <v>4.7178369309504344E-2</v>
      </c>
      <c r="Z31" s="62">
        <f>Y10*'1.Premissas Receitas'!$B$30</f>
        <v>4.8593720388789473E-2</v>
      </c>
      <c r="AA31" s="62">
        <f>Z10*'1.Premissas Receitas'!$B$30</f>
        <v>5.0051532000453154E-2</v>
      </c>
      <c r="AB31" s="62">
        <f>AA10*'1.Premissas Receitas'!$B$30</f>
        <v>5.1553077960466744E-2</v>
      </c>
      <c r="AC31" s="62">
        <f>AB10*'1.Premissas Receitas'!$B$30</f>
        <v>5.3099670299280748E-2</v>
      </c>
      <c r="AD31" s="62">
        <f>AC10*'1.Premissas Receitas'!$B$30</f>
        <v>5.4692660408259167E-2</v>
      </c>
      <c r="AE31" s="62">
        <f>AD10*'1.Premissas Receitas'!$B$30</f>
        <v>5.6333440220506945E-2</v>
      </c>
      <c r="AF31" s="62">
        <f>AE10*'1.Premissas Receitas'!$B$30</f>
        <v>7.3233472286659024E-2</v>
      </c>
      <c r="AG31" s="62">
        <f>AF10*'1.Premissas Receitas'!$B$30</f>
        <v>7.5430476455258799E-2</v>
      </c>
      <c r="AH31" s="62">
        <f>AG10*'1.Premissas Receitas'!$B$30</f>
        <v>7.7693390748916555E-2</v>
      </c>
      <c r="AI31" s="62">
        <f>AH10*'1.Premissas Receitas'!$B$30</f>
        <v>8.0024192471384051E-2</v>
      </c>
      <c r="AJ31" s="62">
        <f>AI10*'1.Premissas Receitas'!$B$30</f>
        <v>8.2424918245525572E-2</v>
      </c>
      <c r="AK31" s="62">
        <f>AJ10*'1.Premissas Receitas'!$B$30</f>
        <v>8.4897665792891333E-2</v>
      </c>
      <c r="AL31" s="62">
        <f>AK10*'1.Premissas Receitas'!$B$30</f>
        <v>8.7444595766678068E-2</v>
      </c>
      <c r="AM31" s="62">
        <f>AL10*'1.Premissas Receitas'!$B$30</f>
        <v>9.006793363967841E-2</v>
      </c>
      <c r="AN31" s="62">
        <f>AM10*'1.Premissas Receitas'!$B$30</f>
        <v>9.2769971648868757E-2</v>
      </c>
      <c r="AO31" s="62">
        <f>AN10*'1.Premissas Receitas'!$B$30</f>
        <v>9.5553070798334819E-2</v>
      </c>
      <c r="AP31" s="62">
        <f>AO10*'1.Premissas Receitas'!$B$30</f>
        <v>9.8419662922284865E-2</v>
      </c>
      <c r="AQ31" s="62">
        <f>AP10*'1.Premissas Receitas'!$B$30</f>
        <v>0.10137225280995341</v>
      </c>
      <c r="AR31" s="62">
        <f>AQ10*'1.Premissas Receitas'!$B$30</f>
        <v>0.1216467033719441</v>
      </c>
      <c r="AS31" s="62">
        <f>AR10*'1.Premissas Receitas'!$B$30</f>
        <v>0.12529610447310241</v>
      </c>
      <c r="AT31" s="62">
        <f>AS10*'1.Premissas Receitas'!$B$30</f>
        <v>0.1290549876072955</v>
      </c>
      <c r="AU31" s="62">
        <f>AT10*'1.Premissas Receitas'!$B$30</f>
        <v>0.13292663723551434</v>
      </c>
      <c r="AV31" s="62">
        <f>AU10*'1.Premissas Receitas'!$B$30</f>
        <v>0.1369144363525798</v>
      </c>
      <c r="AW31" s="62">
        <f>AV10*'1.Premissas Receitas'!$B$30</f>
        <v>0.14102186944315717</v>
      </c>
      <c r="AX31" s="62">
        <f>AW10*'1.Premissas Receitas'!$B$30</f>
        <v>0.14525252552645188</v>
      </c>
      <c r="AY31" s="62">
        <f>AX10*'1.Premissas Receitas'!$B$30</f>
        <v>0.14961010129224545</v>
      </c>
      <c r="AZ31" s="62">
        <f>AY10*'1.Premissas Receitas'!$B$30</f>
        <v>0.15409840433101282</v>
      </c>
      <c r="BA31" s="62">
        <f>AZ10*'1.Premissas Receitas'!$B$30</f>
        <v>0.15872135646094318</v>
      </c>
      <c r="BB31" s="62">
        <f>BA10*'1.Premissas Receitas'!$B$30</f>
        <v>0.16348299715477149</v>
      </c>
      <c r="BC31" s="62">
        <f>BB10*'1.Premissas Receitas'!$B$30</f>
        <v>0.16838748706941462</v>
      </c>
      <c r="BD31" s="62">
        <f>BC10*'1.Premissas Receitas'!$B$30</f>
        <v>0.19364561012982681</v>
      </c>
      <c r="BE31" s="62">
        <f>BD10*'1.Premissas Receitas'!$B$30</f>
        <v>0.19945497843372162</v>
      </c>
      <c r="BF31" s="62">
        <f>BE10*'1.Premissas Receitas'!$B$30</f>
        <v>0.20543862778673327</v>
      </c>
      <c r="BG31" s="62">
        <f>BF10*'1.Premissas Receitas'!$B$30</f>
        <v>0.21160178662033527</v>
      </c>
      <c r="BH31" s="62">
        <f>BG10*'1.Premissas Receitas'!$B$30</f>
        <v>0.21794984021894534</v>
      </c>
      <c r="BI31" s="62">
        <f>BH10*'1.Premissas Receitas'!$B$30</f>
        <v>0.22448833542551369</v>
      </c>
      <c r="BJ31" s="62">
        <f>BI10*'1.Premissas Receitas'!$B$30</f>
        <v>0.2312229854882791</v>
      </c>
      <c r="BK31" s="62">
        <f>BJ10*'1.Premissas Receitas'!$B$30</f>
        <v>0.23815967505292748</v>
      </c>
      <c r="BL31" s="62">
        <f>BK10*'1.Premissas Receitas'!$B$30</f>
        <v>0.24530446530451527</v>
      </c>
      <c r="BM31" s="62">
        <f>BL10*'1.Premissas Receitas'!$B$30</f>
        <v>0.25266359926365078</v>
      </c>
      <c r="BN31" s="49"/>
      <c r="BO31" s="49"/>
      <c r="BP31" s="62">
        <f t="shared" si="9"/>
        <v>0.26896370950711196</v>
      </c>
      <c r="BQ31" s="62">
        <f t="shared" si="10"/>
        <v>0.52123214737360868</v>
      </c>
      <c r="BR31" s="62">
        <f t="shared" si="11"/>
        <v>0.99429279099698731</v>
      </c>
      <c r="BS31" s="62">
        <f t="shared" si="12"/>
        <v>1.6593983760589717</v>
      </c>
      <c r="BT31" s="62">
        <f t="shared" si="13"/>
        <v>2.3883173907938628</v>
      </c>
    </row>
    <row r="32" spans="1:72" ht="15.75" customHeight="1" outlineLevel="1" x14ac:dyDescent="0.35">
      <c r="A32" s="20"/>
      <c r="B32" s="20"/>
      <c r="C32" s="20" t="str">
        <f>C11</f>
        <v># de clientes Assinatura 2</v>
      </c>
      <c r="D32" s="20"/>
      <c r="E32" s="20"/>
      <c r="F32" s="20"/>
      <c r="G32" s="49"/>
      <c r="H32" s="62">
        <f>G11*'1.Premissas Receitas'!$B$30</f>
        <v>8.9999999999999993E-3</v>
      </c>
      <c r="I32" s="62">
        <f>H11*'1.Premissas Receitas'!$B$30</f>
        <v>9.2699999999999987E-3</v>
      </c>
      <c r="J32" s="62">
        <f>I11*'1.Premissas Receitas'!$B$30</f>
        <v>9.5481000000000003E-3</v>
      </c>
      <c r="K32" s="62">
        <f>J11*'1.Premissas Receitas'!$B$30</f>
        <v>9.8345429999999994E-3</v>
      </c>
      <c r="L32" s="62">
        <f>K11*'1.Premissas Receitas'!$B$30</f>
        <v>1.0129579289999999E-2</v>
      </c>
      <c r="M32" s="62">
        <f>L11*'1.Premissas Receitas'!$B$30</f>
        <v>1.0433466668699999E-2</v>
      </c>
      <c r="N32" s="62">
        <f>M11*'1.Premissas Receitas'!$B$30</f>
        <v>1.0746470668760999E-2</v>
      </c>
      <c r="O32" s="62">
        <f>N11*'1.Premissas Receitas'!$B$30</f>
        <v>1.1068864788823829E-2</v>
      </c>
      <c r="P32" s="62">
        <f>O11*'1.Premissas Receitas'!$B$30</f>
        <v>1.1400930732488544E-2</v>
      </c>
      <c r="Q32" s="62">
        <f>P11*'1.Premissas Receitas'!$B$30</f>
        <v>1.17429586544632E-2</v>
      </c>
      <c r="R32" s="62">
        <f>Q11*'1.Premissas Receitas'!$B$30</f>
        <v>1.2095247414097097E-2</v>
      </c>
      <c r="S32" s="62">
        <f>R11*'1.Premissas Receitas'!$B$30</f>
        <v>1.2458104836520011E-2</v>
      </c>
      <c r="T32" s="62">
        <f>S11*'1.Premissas Receitas'!$B$30</f>
        <v>1.7441346771128016E-2</v>
      </c>
      <c r="U32" s="62">
        <f>T11*'1.Premissas Receitas'!$B$30</f>
        <v>1.7964587174261856E-2</v>
      </c>
      <c r="V32" s="62">
        <f>U11*'1.Premissas Receitas'!$B$30</f>
        <v>1.850352478948971E-2</v>
      </c>
      <c r="W32" s="62">
        <f>V11*'1.Premissas Receitas'!$B$30</f>
        <v>1.90586305331744E-2</v>
      </c>
      <c r="X32" s="62">
        <f>W11*'1.Premissas Receitas'!$B$30</f>
        <v>1.9630389449169634E-2</v>
      </c>
      <c r="Y32" s="62">
        <f>X11*'1.Premissas Receitas'!$B$30</f>
        <v>2.021930113264472E-2</v>
      </c>
      <c r="Z32" s="62">
        <f>Y11*'1.Premissas Receitas'!$B$30</f>
        <v>2.082588016662406E-2</v>
      </c>
      <c r="AA32" s="62">
        <f>Z11*'1.Premissas Receitas'!$B$30</f>
        <v>2.1450656571622782E-2</v>
      </c>
      <c r="AB32" s="62">
        <f>AA11*'1.Premissas Receitas'!$B$30</f>
        <v>2.2094176268771467E-2</v>
      </c>
      <c r="AC32" s="62">
        <f>AB11*'1.Premissas Receitas'!$B$30</f>
        <v>2.2757001556834609E-2</v>
      </c>
      <c r="AD32" s="62">
        <f>AC11*'1.Premissas Receitas'!$B$30</f>
        <v>2.3439711603539647E-2</v>
      </c>
      <c r="AE32" s="62">
        <f>AD11*'1.Premissas Receitas'!$B$30</f>
        <v>2.4142902951645836E-2</v>
      </c>
      <c r="AF32" s="62">
        <f>AE11*'1.Premissas Receitas'!$B$30</f>
        <v>3.1385773837139586E-2</v>
      </c>
      <c r="AG32" s="62">
        <f>AF11*'1.Premissas Receitas'!$B$30</f>
        <v>3.2327347052253777E-2</v>
      </c>
      <c r="AH32" s="62">
        <f>AG11*'1.Premissas Receitas'!$B$30</f>
        <v>3.3297167463821394E-2</v>
      </c>
      <c r="AI32" s="62">
        <f>AH11*'1.Premissas Receitas'!$B$30</f>
        <v>3.4296082487736031E-2</v>
      </c>
      <c r="AJ32" s="62">
        <f>AI11*'1.Premissas Receitas'!$B$30</f>
        <v>3.5324964962368116E-2</v>
      </c>
      <c r="AK32" s="62">
        <f>AJ11*'1.Premissas Receitas'!$B$30</f>
        <v>3.638471391123916E-2</v>
      </c>
      <c r="AL32" s="62">
        <f>AK11*'1.Premissas Receitas'!$B$30</f>
        <v>3.747625532857634E-2</v>
      </c>
      <c r="AM32" s="62">
        <f>AL11*'1.Premissas Receitas'!$B$30</f>
        <v>3.8600542988433628E-2</v>
      </c>
      <c r="AN32" s="62">
        <f>AM11*'1.Premissas Receitas'!$B$30</f>
        <v>3.9758559278086629E-2</v>
      </c>
      <c r="AO32" s="62">
        <f>AN11*'1.Premissas Receitas'!$B$30</f>
        <v>4.0951316056429231E-2</v>
      </c>
      <c r="AP32" s="62">
        <f>AO11*'1.Premissas Receitas'!$B$30</f>
        <v>4.2179855538122112E-2</v>
      </c>
      <c r="AQ32" s="62">
        <f>AP11*'1.Premissas Receitas'!$B$30</f>
        <v>4.3445251204265775E-2</v>
      </c>
      <c r="AR32" s="62">
        <f>AQ11*'1.Premissas Receitas'!$B$30</f>
        <v>5.2134301445118922E-2</v>
      </c>
      <c r="AS32" s="62">
        <f>AR11*'1.Premissas Receitas'!$B$30</f>
        <v>5.3698330488472494E-2</v>
      </c>
      <c r="AT32" s="62">
        <f>AS11*'1.Premissas Receitas'!$B$30</f>
        <v>5.5309280403126666E-2</v>
      </c>
      <c r="AU32" s="62">
        <f>AT11*'1.Premissas Receitas'!$B$30</f>
        <v>5.696855881522047E-2</v>
      </c>
      <c r="AV32" s="62">
        <f>AU11*'1.Premissas Receitas'!$B$30</f>
        <v>5.867761557967708E-2</v>
      </c>
      <c r="AW32" s="62">
        <f>AV11*'1.Premissas Receitas'!$B$30</f>
        <v>6.0437944047067399E-2</v>
      </c>
      <c r="AX32" s="62">
        <f>AW11*'1.Premissas Receitas'!$B$30</f>
        <v>6.225108236847942E-2</v>
      </c>
      <c r="AY32" s="62">
        <f>AX11*'1.Premissas Receitas'!$B$30</f>
        <v>6.4118614839533808E-2</v>
      </c>
      <c r="AZ32" s="62">
        <f>AY11*'1.Premissas Receitas'!$B$30</f>
        <v>6.6042173284719813E-2</v>
      </c>
      <c r="BA32" s="62">
        <f>AZ11*'1.Premissas Receitas'!$B$30</f>
        <v>6.8023438483261409E-2</v>
      </c>
      <c r="BB32" s="62">
        <f>BA11*'1.Premissas Receitas'!$B$30</f>
        <v>7.0064141637759245E-2</v>
      </c>
      <c r="BC32" s="62">
        <f>BB11*'1.Premissas Receitas'!$B$30</f>
        <v>7.216606588689202E-2</v>
      </c>
      <c r="BD32" s="62">
        <f>BC11*'1.Premissas Receitas'!$B$30</f>
        <v>8.2990975769925826E-2</v>
      </c>
      <c r="BE32" s="62">
        <f>BD11*'1.Premissas Receitas'!$B$30</f>
        <v>8.5480705043023603E-2</v>
      </c>
      <c r="BF32" s="62">
        <f>BE11*'1.Premissas Receitas'!$B$30</f>
        <v>8.8045126194314316E-2</v>
      </c>
      <c r="BG32" s="62">
        <f>BF11*'1.Premissas Receitas'!$B$30</f>
        <v>9.0686479980143744E-2</v>
      </c>
      <c r="BH32" s="62">
        <f>BG11*'1.Premissas Receitas'!$B$30</f>
        <v>9.3407074379548052E-2</v>
      </c>
      <c r="BI32" s="62">
        <f>BH11*'1.Premissas Receitas'!$B$30</f>
        <v>9.6209286610934489E-2</v>
      </c>
      <c r="BJ32" s="62">
        <f>BI11*'1.Premissas Receitas'!$B$30</f>
        <v>9.9095565209262521E-2</v>
      </c>
      <c r="BK32" s="62">
        <f>BJ11*'1.Premissas Receitas'!$B$30</f>
        <v>0.1020684321655404</v>
      </c>
      <c r="BL32" s="62">
        <f>BK11*'1.Premissas Receitas'!$B$30</f>
        <v>0.10513048513050662</v>
      </c>
      <c r="BM32" s="62">
        <f>BL11*'1.Premissas Receitas'!$B$30</f>
        <v>0.10828439968442181</v>
      </c>
      <c r="BN32" s="49"/>
      <c r="BO32" s="49"/>
      <c r="BP32" s="62">
        <f t="shared" si="9"/>
        <v>0.11527016121733366</v>
      </c>
      <c r="BQ32" s="62">
        <f t="shared" si="10"/>
        <v>0.22338520601726089</v>
      </c>
      <c r="BR32" s="62">
        <f t="shared" si="11"/>
        <v>0.42612548185585181</v>
      </c>
      <c r="BS32" s="62">
        <f t="shared" si="12"/>
        <v>0.7111707325967026</v>
      </c>
      <c r="BT32" s="62">
        <f t="shared" si="13"/>
        <v>1.0235645960545134</v>
      </c>
    </row>
    <row r="33" spans="1:72" ht="15.75" customHeight="1" outlineLevel="1" x14ac:dyDescent="0.35">
      <c r="A33" s="20"/>
      <c r="B33" s="20"/>
      <c r="C33" s="63" t="str">
        <f>C24</f>
        <v># Pay-per-use Produto/Serviço 1</v>
      </c>
      <c r="D33" s="20"/>
      <c r="E33" s="20"/>
      <c r="F33" s="20"/>
      <c r="G33" s="49"/>
      <c r="H33" s="62">
        <f>G24*'1.Premissas Receitas'!$B$68</f>
        <v>0</v>
      </c>
      <c r="I33" s="62">
        <f>H24*'1.Premissas Receitas'!$B$68</f>
        <v>0</v>
      </c>
      <c r="J33" s="62">
        <f>I24*'1.Premissas Receitas'!$B$68</f>
        <v>0</v>
      </c>
      <c r="K33" s="62">
        <f>J24*'1.Premissas Receitas'!$B$68</f>
        <v>0</v>
      </c>
      <c r="L33" s="62">
        <f>K24*'1.Premissas Receitas'!$B$68</f>
        <v>0</v>
      </c>
      <c r="M33" s="62">
        <f>L24*'1.Premissas Receitas'!$B$68</f>
        <v>0</v>
      </c>
      <c r="N33" s="62">
        <f>M24*'1.Premissas Receitas'!$B$68</f>
        <v>0</v>
      </c>
      <c r="O33" s="62">
        <f>N24*'1.Premissas Receitas'!$B$68</f>
        <v>0</v>
      </c>
      <c r="P33" s="62">
        <f>O24*'1.Premissas Receitas'!$B$68</f>
        <v>0</v>
      </c>
      <c r="Q33" s="62">
        <f>P24*'1.Premissas Receitas'!$B$68</f>
        <v>0</v>
      </c>
      <c r="R33" s="62">
        <f>Q24*'1.Premissas Receitas'!$B$68</f>
        <v>0</v>
      </c>
      <c r="S33" s="62">
        <f>R24*'1.Premissas Receitas'!$B$68</f>
        <v>0</v>
      </c>
      <c r="T33" s="62">
        <f>S24*'1.Premissas Receitas'!$B$68</f>
        <v>0</v>
      </c>
      <c r="U33" s="62">
        <f>T24*'1.Premissas Receitas'!$B$68</f>
        <v>0</v>
      </c>
      <c r="V33" s="62">
        <f>U24*'1.Premissas Receitas'!$B$68</f>
        <v>0</v>
      </c>
      <c r="W33" s="62">
        <f>V24*'1.Premissas Receitas'!$B$68</f>
        <v>0</v>
      </c>
      <c r="X33" s="62">
        <f>W24*'1.Premissas Receitas'!$B$68</f>
        <v>0</v>
      </c>
      <c r="Y33" s="62">
        <f>X24*'1.Premissas Receitas'!$B$68</f>
        <v>0</v>
      </c>
      <c r="Z33" s="62">
        <f>Y24*'1.Premissas Receitas'!$B$68</f>
        <v>0</v>
      </c>
      <c r="AA33" s="62">
        <f>Z24*'1.Premissas Receitas'!$B$68</f>
        <v>0</v>
      </c>
      <c r="AB33" s="62">
        <f>AA24*'1.Premissas Receitas'!$B$68</f>
        <v>0</v>
      </c>
      <c r="AC33" s="62">
        <f>AB24*'1.Premissas Receitas'!$B$68</f>
        <v>0</v>
      </c>
      <c r="AD33" s="62">
        <f>AC24*'1.Premissas Receitas'!$B$68</f>
        <v>0</v>
      </c>
      <c r="AE33" s="62">
        <f>AD24*'1.Premissas Receitas'!$B$68</f>
        <v>0</v>
      </c>
      <c r="AF33" s="62">
        <f>AE24*'1.Premissas Receitas'!$B$68</f>
        <v>0</v>
      </c>
      <c r="AG33" s="62">
        <f>AF24*'1.Premissas Receitas'!$B$68</f>
        <v>0</v>
      </c>
      <c r="AH33" s="62">
        <f>AG24*'1.Premissas Receitas'!$B$68</f>
        <v>0</v>
      </c>
      <c r="AI33" s="62">
        <f>AH24*'1.Premissas Receitas'!$B$68</f>
        <v>0</v>
      </c>
      <c r="AJ33" s="62">
        <f>AI24*'1.Premissas Receitas'!$B$68</f>
        <v>0</v>
      </c>
      <c r="AK33" s="62">
        <f>AJ24*'1.Premissas Receitas'!$B$68</f>
        <v>0</v>
      </c>
      <c r="AL33" s="62">
        <f>AK24*'1.Premissas Receitas'!$B$68</f>
        <v>0</v>
      </c>
      <c r="AM33" s="62">
        <f>AL24*'1.Premissas Receitas'!$B$68</f>
        <v>0</v>
      </c>
      <c r="AN33" s="62">
        <f>AM24*'1.Premissas Receitas'!$B$68</f>
        <v>0</v>
      </c>
      <c r="AO33" s="62">
        <f>AN24*'1.Premissas Receitas'!$B$68</f>
        <v>0</v>
      </c>
      <c r="AP33" s="62">
        <f>AO24*'1.Premissas Receitas'!$B$68</f>
        <v>0</v>
      </c>
      <c r="AQ33" s="62">
        <f>AP24*'1.Premissas Receitas'!$B$68</f>
        <v>0</v>
      </c>
      <c r="AR33" s="62">
        <f>AQ24*'1.Premissas Receitas'!$B$68</f>
        <v>0</v>
      </c>
      <c r="AS33" s="62">
        <f>AR24*'1.Premissas Receitas'!$B$68</f>
        <v>0</v>
      </c>
      <c r="AT33" s="62">
        <f>AS24*'1.Premissas Receitas'!$B$68</f>
        <v>0</v>
      </c>
      <c r="AU33" s="62">
        <f>AT24*'1.Premissas Receitas'!$B$68</f>
        <v>0</v>
      </c>
      <c r="AV33" s="62">
        <f>AU24*'1.Premissas Receitas'!$B$68</f>
        <v>0</v>
      </c>
      <c r="AW33" s="62">
        <f>AV24*'1.Premissas Receitas'!$B$68</f>
        <v>0</v>
      </c>
      <c r="AX33" s="62">
        <f>AW24*'1.Premissas Receitas'!$B$68</f>
        <v>0</v>
      </c>
      <c r="AY33" s="62">
        <f>AX24*'1.Premissas Receitas'!$B$68</f>
        <v>0</v>
      </c>
      <c r="AZ33" s="62">
        <f>AY24*'1.Premissas Receitas'!$B$68</f>
        <v>0</v>
      </c>
      <c r="BA33" s="62">
        <f>AZ24*'1.Premissas Receitas'!$B$68</f>
        <v>0</v>
      </c>
      <c r="BB33" s="62">
        <f>BA24*'1.Premissas Receitas'!$B$68</f>
        <v>0</v>
      </c>
      <c r="BC33" s="62">
        <f>BB24*'1.Premissas Receitas'!$B$68</f>
        <v>0</v>
      </c>
      <c r="BD33" s="62">
        <f>BC24*'1.Premissas Receitas'!$B$68</f>
        <v>0</v>
      </c>
      <c r="BE33" s="62">
        <f>BD24*'1.Premissas Receitas'!$B$68</f>
        <v>0</v>
      </c>
      <c r="BF33" s="62">
        <f>BE24*'1.Premissas Receitas'!$B$68</f>
        <v>0</v>
      </c>
      <c r="BG33" s="62">
        <f>BF24*'1.Premissas Receitas'!$B$68</f>
        <v>0</v>
      </c>
      <c r="BH33" s="62">
        <f>BG24*'1.Premissas Receitas'!$B$68</f>
        <v>0</v>
      </c>
      <c r="BI33" s="62">
        <f>BH24*'1.Premissas Receitas'!$B$68</f>
        <v>0</v>
      </c>
      <c r="BJ33" s="62">
        <f>BI24*'1.Premissas Receitas'!$B$68</f>
        <v>0</v>
      </c>
      <c r="BK33" s="62">
        <f>BJ24*'1.Premissas Receitas'!$B$68</f>
        <v>0</v>
      </c>
      <c r="BL33" s="62">
        <f>BK24*'1.Premissas Receitas'!$B$68</f>
        <v>0</v>
      </c>
      <c r="BM33" s="62">
        <f>BL24*'1.Premissas Receitas'!$B$68</f>
        <v>0</v>
      </c>
      <c r="BN33" s="49"/>
      <c r="BO33" s="49"/>
      <c r="BP33" s="62">
        <f t="shared" si="9"/>
        <v>0</v>
      </c>
      <c r="BQ33" s="62">
        <f t="shared" si="10"/>
        <v>0</v>
      </c>
      <c r="BR33" s="62">
        <f t="shared" si="11"/>
        <v>0</v>
      </c>
      <c r="BS33" s="62">
        <f t="shared" si="12"/>
        <v>0</v>
      </c>
      <c r="BT33" s="62">
        <f t="shared" si="13"/>
        <v>0</v>
      </c>
    </row>
    <row r="34" spans="1:72" ht="15.75" customHeight="1" outlineLevel="1" x14ac:dyDescent="0.35">
      <c r="A34" s="20"/>
      <c r="B34" s="20"/>
      <c r="C34" s="63" t="str">
        <f>C25</f>
        <v># Pay-per-use Produto/Serviço 2</v>
      </c>
      <c r="D34" s="20"/>
      <c r="E34" s="20"/>
      <c r="F34" s="20"/>
      <c r="G34" s="49"/>
      <c r="H34" s="62">
        <f>G25*'1.Premissas Receitas'!$B$68</f>
        <v>0</v>
      </c>
      <c r="I34" s="62">
        <f>H25*'1.Premissas Receitas'!$B$68</f>
        <v>0</v>
      </c>
      <c r="J34" s="62">
        <f>I25*'1.Premissas Receitas'!$B$68</f>
        <v>0</v>
      </c>
      <c r="K34" s="62">
        <f>J25*'1.Premissas Receitas'!$B$68</f>
        <v>0</v>
      </c>
      <c r="L34" s="62">
        <f>K25*'1.Premissas Receitas'!$B$68</f>
        <v>0</v>
      </c>
      <c r="M34" s="62">
        <f>L25*'1.Premissas Receitas'!$B$68</f>
        <v>0</v>
      </c>
      <c r="N34" s="62">
        <f>M25*'1.Premissas Receitas'!$B$68</f>
        <v>0</v>
      </c>
      <c r="O34" s="62">
        <f>N25*'1.Premissas Receitas'!$B$68</f>
        <v>0</v>
      </c>
      <c r="P34" s="62">
        <f>O25*'1.Premissas Receitas'!$B$68</f>
        <v>0</v>
      </c>
      <c r="Q34" s="62">
        <f>P25*'1.Premissas Receitas'!$B$68</f>
        <v>0</v>
      </c>
      <c r="R34" s="62">
        <f>Q25*'1.Premissas Receitas'!$B$68</f>
        <v>0</v>
      </c>
      <c r="S34" s="62">
        <f>R25*'1.Premissas Receitas'!$B$68</f>
        <v>0</v>
      </c>
      <c r="T34" s="62">
        <f>S25*'1.Premissas Receitas'!$B$68</f>
        <v>0</v>
      </c>
      <c r="U34" s="62">
        <f>T25*'1.Premissas Receitas'!$B$68</f>
        <v>0</v>
      </c>
      <c r="V34" s="62">
        <f>U25*'1.Premissas Receitas'!$B$68</f>
        <v>0</v>
      </c>
      <c r="W34" s="62">
        <f>V25*'1.Premissas Receitas'!$B$68</f>
        <v>0</v>
      </c>
      <c r="X34" s="62">
        <f>W25*'1.Premissas Receitas'!$B$68</f>
        <v>0</v>
      </c>
      <c r="Y34" s="62">
        <f>X25*'1.Premissas Receitas'!$B$68</f>
        <v>0</v>
      </c>
      <c r="Z34" s="62">
        <f>Y25*'1.Premissas Receitas'!$B$68</f>
        <v>0</v>
      </c>
      <c r="AA34" s="62">
        <f>Z25*'1.Premissas Receitas'!$B$68</f>
        <v>0</v>
      </c>
      <c r="AB34" s="62">
        <f>AA25*'1.Premissas Receitas'!$B$68</f>
        <v>0</v>
      </c>
      <c r="AC34" s="62">
        <f>AB25*'1.Premissas Receitas'!$B$68</f>
        <v>0</v>
      </c>
      <c r="AD34" s="62">
        <f>AC25*'1.Premissas Receitas'!$B$68</f>
        <v>0</v>
      </c>
      <c r="AE34" s="62">
        <f>AD25*'1.Premissas Receitas'!$B$68</f>
        <v>0</v>
      </c>
      <c r="AF34" s="62">
        <f>AE25*'1.Premissas Receitas'!$B$68</f>
        <v>0</v>
      </c>
      <c r="AG34" s="62">
        <f>AF25*'1.Premissas Receitas'!$B$68</f>
        <v>0</v>
      </c>
      <c r="AH34" s="62">
        <f>AG25*'1.Premissas Receitas'!$B$68</f>
        <v>0</v>
      </c>
      <c r="AI34" s="62">
        <f>AH25*'1.Premissas Receitas'!$B$68</f>
        <v>0</v>
      </c>
      <c r="AJ34" s="62">
        <f>AI25*'1.Premissas Receitas'!$B$68</f>
        <v>0</v>
      </c>
      <c r="AK34" s="62">
        <f>AJ25*'1.Premissas Receitas'!$B$68</f>
        <v>0</v>
      </c>
      <c r="AL34" s="62">
        <f>AK25*'1.Premissas Receitas'!$B$68</f>
        <v>0</v>
      </c>
      <c r="AM34" s="62">
        <f>AL25*'1.Premissas Receitas'!$B$68</f>
        <v>0</v>
      </c>
      <c r="AN34" s="62">
        <f>AM25*'1.Premissas Receitas'!$B$68</f>
        <v>0</v>
      </c>
      <c r="AO34" s="62">
        <f>AN25*'1.Premissas Receitas'!$B$68</f>
        <v>0</v>
      </c>
      <c r="AP34" s="62">
        <f>AO25*'1.Premissas Receitas'!$B$68</f>
        <v>0</v>
      </c>
      <c r="AQ34" s="62">
        <f>AP25*'1.Premissas Receitas'!$B$68</f>
        <v>0</v>
      </c>
      <c r="AR34" s="62">
        <f>AQ25*'1.Premissas Receitas'!$B$68</f>
        <v>0</v>
      </c>
      <c r="AS34" s="62">
        <f>AR25*'1.Premissas Receitas'!$B$68</f>
        <v>0</v>
      </c>
      <c r="AT34" s="62">
        <f>AS25*'1.Premissas Receitas'!$B$68</f>
        <v>0</v>
      </c>
      <c r="AU34" s="62">
        <f>AT25*'1.Premissas Receitas'!$B$68</f>
        <v>0</v>
      </c>
      <c r="AV34" s="62">
        <f>AU25*'1.Premissas Receitas'!$B$68</f>
        <v>0</v>
      </c>
      <c r="AW34" s="62">
        <f>AV25*'1.Premissas Receitas'!$B$68</f>
        <v>0</v>
      </c>
      <c r="AX34" s="62">
        <f>AW25*'1.Premissas Receitas'!$B$68</f>
        <v>0</v>
      </c>
      <c r="AY34" s="62">
        <f>AX25*'1.Premissas Receitas'!$B$68</f>
        <v>0</v>
      </c>
      <c r="AZ34" s="62">
        <f>AY25*'1.Premissas Receitas'!$B$68</f>
        <v>0</v>
      </c>
      <c r="BA34" s="62">
        <f>AZ25*'1.Premissas Receitas'!$B$68</f>
        <v>0</v>
      </c>
      <c r="BB34" s="62">
        <f>BA25*'1.Premissas Receitas'!$B$68</f>
        <v>0</v>
      </c>
      <c r="BC34" s="62">
        <f>BB25*'1.Premissas Receitas'!$B$68</f>
        <v>0</v>
      </c>
      <c r="BD34" s="62">
        <f>BC25*'1.Premissas Receitas'!$B$68</f>
        <v>0</v>
      </c>
      <c r="BE34" s="62">
        <f>BD25*'1.Premissas Receitas'!$B$68</f>
        <v>0</v>
      </c>
      <c r="BF34" s="62">
        <f>BE25*'1.Premissas Receitas'!$B$68</f>
        <v>0</v>
      </c>
      <c r="BG34" s="62">
        <f>BF25*'1.Premissas Receitas'!$B$68</f>
        <v>0</v>
      </c>
      <c r="BH34" s="62">
        <f>BG25*'1.Premissas Receitas'!$B$68</f>
        <v>0</v>
      </c>
      <c r="BI34" s="62">
        <f>BH25*'1.Premissas Receitas'!$B$68</f>
        <v>0</v>
      </c>
      <c r="BJ34" s="62">
        <f>BI25*'1.Premissas Receitas'!$B$68</f>
        <v>0</v>
      </c>
      <c r="BK34" s="62">
        <f>BJ25*'1.Premissas Receitas'!$B$68</f>
        <v>0</v>
      </c>
      <c r="BL34" s="62">
        <f>BK25*'1.Premissas Receitas'!$B$68</f>
        <v>0</v>
      </c>
      <c r="BM34" s="62">
        <f>BL25*'1.Premissas Receitas'!$B$68</f>
        <v>0</v>
      </c>
      <c r="BN34" s="49"/>
      <c r="BO34" s="49"/>
      <c r="BP34" s="62">
        <f t="shared" si="9"/>
        <v>0</v>
      </c>
      <c r="BQ34" s="62">
        <f t="shared" si="10"/>
        <v>0</v>
      </c>
      <c r="BR34" s="62">
        <f t="shared" si="11"/>
        <v>0</v>
      </c>
      <c r="BS34" s="62">
        <f t="shared" si="12"/>
        <v>0</v>
      </c>
      <c r="BT34" s="62">
        <f t="shared" si="13"/>
        <v>0</v>
      </c>
    </row>
    <row r="35" spans="1:72" ht="15.75" customHeight="1" outlineLevel="1" x14ac:dyDescent="0.35">
      <c r="A35" s="20"/>
      <c r="B35" s="20"/>
      <c r="C35" s="63" t="str">
        <f>C26</f>
        <v># Pay-per-use Produto/Serviço 3</v>
      </c>
      <c r="D35" s="20"/>
      <c r="E35" s="20"/>
      <c r="F35" s="20"/>
      <c r="G35" s="49"/>
      <c r="H35" s="62">
        <f>G26*'1.Premissas Receitas'!$B$68</f>
        <v>0</v>
      </c>
      <c r="I35" s="62">
        <f>H26*'1.Premissas Receitas'!$B$68</f>
        <v>0</v>
      </c>
      <c r="J35" s="62">
        <f>I26*'1.Premissas Receitas'!$B$68</f>
        <v>0</v>
      </c>
      <c r="K35" s="62">
        <f>J26*'1.Premissas Receitas'!$B$68</f>
        <v>0</v>
      </c>
      <c r="L35" s="62">
        <f>K26*'1.Premissas Receitas'!$B$68</f>
        <v>0</v>
      </c>
      <c r="M35" s="62">
        <f>L26*'1.Premissas Receitas'!$B$68</f>
        <v>0</v>
      </c>
      <c r="N35" s="62">
        <f>M26*'1.Premissas Receitas'!$B$68</f>
        <v>0</v>
      </c>
      <c r="O35" s="62">
        <f>N26*'1.Premissas Receitas'!$B$68</f>
        <v>0</v>
      </c>
      <c r="P35" s="62">
        <f>O26*'1.Premissas Receitas'!$B$68</f>
        <v>0</v>
      </c>
      <c r="Q35" s="62">
        <f>P26*'1.Premissas Receitas'!$B$68</f>
        <v>0</v>
      </c>
      <c r="R35" s="62">
        <f>Q26*'1.Premissas Receitas'!$B$68</f>
        <v>0</v>
      </c>
      <c r="S35" s="62">
        <f>R26*'1.Premissas Receitas'!$B$68</f>
        <v>0</v>
      </c>
      <c r="T35" s="62">
        <f>S26*'1.Premissas Receitas'!$B$68</f>
        <v>0</v>
      </c>
      <c r="U35" s="62">
        <f>T26*'1.Premissas Receitas'!$B$68</f>
        <v>0</v>
      </c>
      <c r="V35" s="62">
        <f>U26*'1.Premissas Receitas'!$B$68</f>
        <v>0</v>
      </c>
      <c r="W35" s="62">
        <f>V26*'1.Premissas Receitas'!$B$68</f>
        <v>0</v>
      </c>
      <c r="X35" s="62">
        <f>W26*'1.Premissas Receitas'!$B$68</f>
        <v>0</v>
      </c>
      <c r="Y35" s="62">
        <f>X26*'1.Premissas Receitas'!$B$68</f>
        <v>0</v>
      </c>
      <c r="Z35" s="62">
        <f>Y26*'1.Premissas Receitas'!$B$68</f>
        <v>0</v>
      </c>
      <c r="AA35" s="62">
        <f>Z26*'1.Premissas Receitas'!$B$68</f>
        <v>0</v>
      </c>
      <c r="AB35" s="62">
        <f>AA26*'1.Premissas Receitas'!$B$68</f>
        <v>0</v>
      </c>
      <c r="AC35" s="62">
        <f>AB26*'1.Premissas Receitas'!$B$68</f>
        <v>0</v>
      </c>
      <c r="AD35" s="62">
        <f>AC26*'1.Premissas Receitas'!$B$68</f>
        <v>0</v>
      </c>
      <c r="AE35" s="62">
        <f>AD26*'1.Premissas Receitas'!$B$68</f>
        <v>0</v>
      </c>
      <c r="AF35" s="62">
        <f>AE26*'1.Premissas Receitas'!$B$68</f>
        <v>0</v>
      </c>
      <c r="AG35" s="62">
        <f>AF26*'1.Premissas Receitas'!$B$68</f>
        <v>0</v>
      </c>
      <c r="AH35" s="62">
        <f>AG26*'1.Premissas Receitas'!$B$68</f>
        <v>0</v>
      </c>
      <c r="AI35" s="62">
        <f>AH26*'1.Premissas Receitas'!$B$68</f>
        <v>0</v>
      </c>
      <c r="AJ35" s="62">
        <f>AI26*'1.Premissas Receitas'!$B$68</f>
        <v>0</v>
      </c>
      <c r="AK35" s="62">
        <f>AJ26*'1.Premissas Receitas'!$B$68</f>
        <v>0</v>
      </c>
      <c r="AL35" s="62">
        <f>AK26*'1.Premissas Receitas'!$B$68</f>
        <v>0</v>
      </c>
      <c r="AM35" s="62">
        <f>AL26*'1.Premissas Receitas'!$B$68</f>
        <v>0</v>
      </c>
      <c r="AN35" s="62">
        <f>AM26*'1.Premissas Receitas'!$B$68</f>
        <v>0</v>
      </c>
      <c r="AO35" s="62">
        <f>AN26*'1.Premissas Receitas'!$B$68</f>
        <v>0</v>
      </c>
      <c r="AP35" s="62">
        <f>AO26*'1.Premissas Receitas'!$B$68</f>
        <v>0</v>
      </c>
      <c r="AQ35" s="62">
        <f>AP26*'1.Premissas Receitas'!$B$68</f>
        <v>0</v>
      </c>
      <c r="AR35" s="62">
        <f>AQ26*'1.Premissas Receitas'!$B$68</f>
        <v>0</v>
      </c>
      <c r="AS35" s="62">
        <f>AR26*'1.Premissas Receitas'!$B$68</f>
        <v>0</v>
      </c>
      <c r="AT35" s="62">
        <f>AS26*'1.Premissas Receitas'!$B$68</f>
        <v>0</v>
      </c>
      <c r="AU35" s="62">
        <f>AT26*'1.Premissas Receitas'!$B$68</f>
        <v>0</v>
      </c>
      <c r="AV35" s="62">
        <f>AU26*'1.Premissas Receitas'!$B$68</f>
        <v>0</v>
      </c>
      <c r="AW35" s="62">
        <f>AV26*'1.Premissas Receitas'!$B$68</f>
        <v>0</v>
      </c>
      <c r="AX35" s="62">
        <f>AW26*'1.Premissas Receitas'!$B$68</f>
        <v>0</v>
      </c>
      <c r="AY35" s="62">
        <f>AX26*'1.Premissas Receitas'!$B$68</f>
        <v>0</v>
      </c>
      <c r="AZ35" s="62">
        <f>AY26*'1.Premissas Receitas'!$B$68</f>
        <v>0</v>
      </c>
      <c r="BA35" s="62">
        <f>AZ26*'1.Premissas Receitas'!$B$68</f>
        <v>0</v>
      </c>
      <c r="BB35" s="62">
        <f>BA26*'1.Premissas Receitas'!$B$68</f>
        <v>0</v>
      </c>
      <c r="BC35" s="62">
        <f>BB26*'1.Premissas Receitas'!$B$68</f>
        <v>0</v>
      </c>
      <c r="BD35" s="62">
        <f>BC26*'1.Premissas Receitas'!$B$68</f>
        <v>0</v>
      </c>
      <c r="BE35" s="62">
        <f>BD26*'1.Premissas Receitas'!$B$68</f>
        <v>0</v>
      </c>
      <c r="BF35" s="62">
        <f>BE26*'1.Premissas Receitas'!$B$68</f>
        <v>0</v>
      </c>
      <c r="BG35" s="62">
        <f>BF26*'1.Premissas Receitas'!$B$68</f>
        <v>0</v>
      </c>
      <c r="BH35" s="62">
        <f>BG26*'1.Premissas Receitas'!$B$68</f>
        <v>0</v>
      </c>
      <c r="BI35" s="62">
        <f>BH26*'1.Premissas Receitas'!$B$68</f>
        <v>0</v>
      </c>
      <c r="BJ35" s="62">
        <f>BI26*'1.Premissas Receitas'!$B$68</f>
        <v>0</v>
      </c>
      <c r="BK35" s="62">
        <f>BJ26*'1.Premissas Receitas'!$B$68</f>
        <v>0</v>
      </c>
      <c r="BL35" s="62">
        <f>BK26*'1.Premissas Receitas'!$B$68</f>
        <v>0</v>
      </c>
      <c r="BM35" s="62">
        <f>BL26*'1.Premissas Receitas'!$B$68</f>
        <v>0</v>
      </c>
      <c r="BN35" s="49"/>
      <c r="BO35" s="49"/>
      <c r="BP35" s="62">
        <f t="shared" si="9"/>
        <v>0</v>
      </c>
      <c r="BQ35" s="62">
        <f t="shared" si="10"/>
        <v>0</v>
      </c>
      <c r="BR35" s="62">
        <f t="shared" si="11"/>
        <v>0</v>
      </c>
      <c r="BS35" s="62">
        <f t="shared" si="12"/>
        <v>0</v>
      </c>
      <c r="BT35" s="62">
        <f t="shared" si="13"/>
        <v>0</v>
      </c>
    </row>
    <row r="36" spans="1:72" ht="15.75" customHeight="1" x14ac:dyDescent="0.35">
      <c r="A36" s="20"/>
      <c r="B36" s="64" t="s">
        <v>154</v>
      </c>
      <c r="C36" s="64"/>
      <c r="D36" s="64"/>
      <c r="E36" s="64"/>
      <c r="F36" s="64"/>
      <c r="G36" s="65">
        <f t="shared" ref="G36:AL36" si="14">SUM(G30:G35)</f>
        <v>0</v>
      </c>
      <c r="H36" s="65">
        <f t="shared" si="14"/>
        <v>0.06</v>
      </c>
      <c r="I36" s="65">
        <f t="shared" si="14"/>
        <v>6.1800000000000001E-2</v>
      </c>
      <c r="J36" s="65">
        <f t="shared" si="14"/>
        <v>6.3654000000000002E-2</v>
      </c>
      <c r="K36" s="65">
        <f t="shared" si="14"/>
        <v>6.5563620000000003E-2</v>
      </c>
      <c r="L36" s="65">
        <f t="shared" si="14"/>
        <v>6.7530528599999987E-2</v>
      </c>
      <c r="M36" s="65">
        <f t="shared" si="14"/>
        <v>6.9556444457999994E-2</v>
      </c>
      <c r="N36" s="65">
        <f t="shared" si="14"/>
        <v>7.1643137791740003E-2</v>
      </c>
      <c r="O36" s="65">
        <f t="shared" si="14"/>
        <v>7.3792431925492202E-2</v>
      </c>
      <c r="P36" s="65">
        <f t="shared" si="14"/>
        <v>7.6006204883256961E-2</v>
      </c>
      <c r="Q36" s="65">
        <f t="shared" si="14"/>
        <v>7.8286391029754682E-2</v>
      </c>
      <c r="R36" s="65">
        <f t="shared" si="14"/>
        <v>8.0634982760647317E-2</v>
      </c>
      <c r="S36" s="65">
        <f t="shared" si="14"/>
        <v>8.3054032243466747E-2</v>
      </c>
      <c r="T36" s="65">
        <f t="shared" si="14"/>
        <v>0.11627564514085344</v>
      </c>
      <c r="U36" s="65">
        <f t="shared" si="14"/>
        <v>0.11976391449507903</v>
      </c>
      <c r="V36" s="65">
        <f t="shared" si="14"/>
        <v>0.12335683192993141</v>
      </c>
      <c r="W36" s="65">
        <f t="shared" si="14"/>
        <v>0.12705753688782934</v>
      </c>
      <c r="X36" s="65">
        <f t="shared" si="14"/>
        <v>0.13086926299446422</v>
      </c>
      <c r="Y36" s="65">
        <f t="shared" si="14"/>
        <v>0.13479534088429812</v>
      </c>
      <c r="Z36" s="65">
        <f t="shared" si="14"/>
        <v>0.13883920111082707</v>
      </c>
      <c r="AA36" s="65">
        <f t="shared" si="14"/>
        <v>0.1430043771441519</v>
      </c>
      <c r="AB36" s="65">
        <f t="shared" si="14"/>
        <v>0.14729450845847644</v>
      </c>
      <c r="AC36" s="65">
        <f t="shared" si="14"/>
        <v>0.15171334371223072</v>
      </c>
      <c r="AD36" s="65">
        <f t="shared" si="14"/>
        <v>0.15626474402359763</v>
      </c>
      <c r="AE36" s="65">
        <f t="shared" si="14"/>
        <v>0.1609526863443056</v>
      </c>
      <c r="AF36" s="65">
        <f t="shared" si="14"/>
        <v>0.20923849224759727</v>
      </c>
      <c r="AG36" s="65">
        <f t="shared" si="14"/>
        <v>0.21551564701502518</v>
      </c>
      <c r="AH36" s="65">
        <f t="shared" si="14"/>
        <v>0.22198111642547594</v>
      </c>
      <c r="AI36" s="65">
        <f t="shared" si="14"/>
        <v>0.2286405499182402</v>
      </c>
      <c r="AJ36" s="65">
        <f t="shared" si="14"/>
        <v>0.23549976641578743</v>
      </c>
      <c r="AK36" s="65">
        <f t="shared" si="14"/>
        <v>0.24256475940826103</v>
      </c>
      <c r="AL36" s="65">
        <f t="shared" si="14"/>
        <v>0.24984170219050886</v>
      </c>
      <c r="AM36" s="65">
        <f t="shared" ref="AM36:BN36" si="15">SUM(AM30:AM35)</f>
        <v>0.25733695325622408</v>
      </c>
      <c r="AN36" s="65">
        <f t="shared" si="15"/>
        <v>0.26505706185391081</v>
      </c>
      <c r="AO36" s="65">
        <f t="shared" si="15"/>
        <v>0.27300877370952814</v>
      </c>
      <c r="AP36" s="65">
        <f t="shared" si="15"/>
        <v>0.28119903692081399</v>
      </c>
      <c r="AQ36" s="65">
        <f t="shared" si="15"/>
        <v>0.28963500802843839</v>
      </c>
      <c r="AR36" s="65">
        <f t="shared" si="15"/>
        <v>0.34756200963412609</v>
      </c>
      <c r="AS36" s="65">
        <f t="shared" si="15"/>
        <v>0.35798886992314988</v>
      </c>
      <c r="AT36" s="65">
        <f t="shared" si="15"/>
        <v>0.36872853602084432</v>
      </c>
      <c r="AU36" s="65">
        <f t="shared" si="15"/>
        <v>0.37979039210146964</v>
      </c>
      <c r="AV36" s="65">
        <f t="shared" si="15"/>
        <v>0.3911841038645138</v>
      </c>
      <c r="AW36" s="65">
        <f t="shared" si="15"/>
        <v>0.40291962698044914</v>
      </c>
      <c r="AX36" s="65">
        <f t="shared" si="15"/>
        <v>0.41500721578986266</v>
      </c>
      <c r="AY36" s="65">
        <f t="shared" si="15"/>
        <v>0.42745743226355853</v>
      </c>
      <c r="AZ36" s="65">
        <f t="shared" si="15"/>
        <v>0.44028115523146538</v>
      </c>
      <c r="BA36" s="65">
        <f t="shared" si="15"/>
        <v>0.45348958988840926</v>
      </c>
      <c r="BB36" s="65">
        <f t="shared" si="15"/>
        <v>0.46709427758506156</v>
      </c>
      <c r="BC36" s="65">
        <f t="shared" si="15"/>
        <v>0.48110710591261335</v>
      </c>
      <c r="BD36" s="65">
        <f t="shared" si="15"/>
        <v>0.55327317179950541</v>
      </c>
      <c r="BE36" s="65">
        <f t="shared" si="15"/>
        <v>0.56987136695349061</v>
      </c>
      <c r="BF36" s="65">
        <f t="shared" si="15"/>
        <v>0.58696750796209529</v>
      </c>
      <c r="BG36" s="65">
        <f t="shared" si="15"/>
        <v>0.60457653320095828</v>
      </c>
      <c r="BH36" s="65">
        <f t="shared" si="15"/>
        <v>0.62271382919698703</v>
      </c>
      <c r="BI36" s="65">
        <f t="shared" si="15"/>
        <v>0.64139524407289661</v>
      </c>
      <c r="BJ36" s="65">
        <f t="shared" si="15"/>
        <v>0.66063710139508347</v>
      </c>
      <c r="BK36" s="65">
        <f t="shared" si="15"/>
        <v>0.68045621443693594</v>
      </c>
      <c r="BL36" s="65">
        <f t="shared" si="15"/>
        <v>0.70086990087004397</v>
      </c>
      <c r="BM36" s="65">
        <f t="shared" si="15"/>
        <v>0.72189599789614534</v>
      </c>
      <c r="BN36" s="65">
        <f t="shared" si="15"/>
        <v>0</v>
      </c>
      <c r="BO36" s="20"/>
      <c r="BP36" s="65">
        <f>SUM(BP30:BP35)</f>
        <v>0.76846774144889118</v>
      </c>
      <c r="BQ36" s="65">
        <f>SUM(BQ30:BQ35)</f>
        <v>1.4892347067817391</v>
      </c>
      <c r="BR36" s="65">
        <f>SUM(BR30:BR35)</f>
        <v>2.8408365457056788</v>
      </c>
      <c r="BS36" s="65">
        <f>SUM(BS30:BS35)</f>
        <v>4.7411382173113488</v>
      </c>
      <c r="BT36" s="65">
        <f>SUM(BT30:BT35)</f>
        <v>6.8237639736967548</v>
      </c>
    </row>
    <row r="37" spans="1:72" ht="15.75" customHeight="1" x14ac:dyDescent="0.3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</row>
    <row r="38" spans="1:72" ht="18" customHeight="1" x14ac:dyDescent="0.3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49"/>
      <c r="BP38" s="49"/>
      <c r="BQ38" s="49"/>
      <c r="BR38" s="49"/>
      <c r="BS38" s="49"/>
      <c r="BT38" s="49"/>
    </row>
    <row r="39" spans="1:72" ht="18" customHeight="1" x14ac:dyDescent="0.3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49"/>
      <c r="BP39" s="49"/>
      <c r="BQ39" s="49"/>
      <c r="BR39" s="49"/>
      <c r="BS39" s="49"/>
      <c r="BT39" s="49"/>
    </row>
    <row r="40" spans="1:72" ht="18" customHeight="1" x14ac:dyDescent="0.35">
      <c r="A40" s="18" t="s">
        <v>155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</row>
    <row r="41" spans="1:72" ht="18" customHeight="1" x14ac:dyDescent="0.3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</row>
    <row r="42" spans="1:72" ht="18" customHeight="1" x14ac:dyDescent="0.35">
      <c r="A42" s="27"/>
      <c r="B42" s="27" t="s">
        <v>156</v>
      </c>
      <c r="C42" s="27"/>
      <c r="D42" s="27"/>
      <c r="E42" s="27"/>
      <c r="F42" s="66"/>
      <c r="G42" s="67">
        <f t="shared" ref="G42:AL42" si="16">+F61</f>
        <v>0</v>
      </c>
      <c r="H42" s="67">
        <f t="shared" si="16"/>
        <v>31437.666666666672</v>
      </c>
      <c r="I42" s="67">
        <f t="shared" si="16"/>
        <v>63818.463333333348</v>
      </c>
      <c r="J42" s="67">
        <f t="shared" si="16"/>
        <v>97170.683900000004</v>
      </c>
      <c r="K42" s="67">
        <f t="shared" si="16"/>
        <v>131523.47108366669</v>
      </c>
      <c r="L42" s="67">
        <f t="shared" si="16"/>
        <v>166906.84188284335</v>
      </c>
      <c r="M42" s="67">
        <f t="shared" si="16"/>
        <v>203351.71380599533</v>
      </c>
      <c r="N42" s="67">
        <f t="shared" si="16"/>
        <v>240889.93188684183</v>
      </c>
      <c r="O42" s="67">
        <f t="shared" si="16"/>
        <v>279554.29651011375</v>
      </c>
      <c r="P42" s="67">
        <f t="shared" si="16"/>
        <v>319378.59207208385</v>
      </c>
      <c r="Q42" s="67">
        <f t="shared" si="16"/>
        <v>360397.61650091305</v>
      </c>
      <c r="R42" s="67">
        <f t="shared" si="16"/>
        <v>402647.21166260709</v>
      </c>
      <c r="S42" s="67">
        <f t="shared" si="16"/>
        <v>446164.29467915196</v>
      </c>
      <c r="T42" s="67">
        <f t="shared" si="16"/>
        <v>507088.21090231475</v>
      </c>
      <c r="U42" s="67">
        <f t="shared" si="16"/>
        <v>569839.84461217246</v>
      </c>
      <c r="V42" s="67">
        <f t="shared" si="16"/>
        <v>634474.02733332594</v>
      </c>
      <c r="W42" s="67">
        <f t="shared" si="16"/>
        <v>701047.23553611396</v>
      </c>
      <c r="X42" s="67">
        <f t="shared" si="16"/>
        <v>769617.6399849857</v>
      </c>
      <c r="Y42" s="67">
        <f t="shared" si="16"/>
        <v>840245.1565673236</v>
      </c>
      <c r="Z42" s="67">
        <f t="shared" si="16"/>
        <v>912991.49864713149</v>
      </c>
      <c r="AA42" s="67">
        <f t="shared" si="16"/>
        <v>987920.23098933371</v>
      </c>
      <c r="AB42" s="67">
        <f t="shared" si="16"/>
        <v>1065096.825301802</v>
      </c>
      <c r="AC42" s="67">
        <f t="shared" si="16"/>
        <v>1144588.7174436443</v>
      </c>
      <c r="AD42" s="67">
        <f t="shared" si="16"/>
        <v>1226465.3663497418</v>
      </c>
      <c r="AE42" s="67">
        <f t="shared" si="16"/>
        <v>1310798.3147230223</v>
      </c>
      <c r="AF42" s="67">
        <f t="shared" si="16"/>
        <v>1420431.1476082869</v>
      </c>
      <c r="AG42" s="67">
        <f t="shared" si="16"/>
        <v>1533352.9654801094</v>
      </c>
      <c r="AH42" s="67">
        <f t="shared" si="16"/>
        <v>1649662.4378880865</v>
      </c>
      <c r="AI42" s="67">
        <f t="shared" si="16"/>
        <v>1769461.1944683031</v>
      </c>
      <c r="AJ42" s="67">
        <f t="shared" si="16"/>
        <v>1892853.913745926</v>
      </c>
      <c r="AK42" s="67">
        <f t="shared" si="16"/>
        <v>2019948.4146018778</v>
      </c>
      <c r="AL42" s="67">
        <f t="shared" si="16"/>
        <v>2150855.7504835078</v>
      </c>
      <c r="AM42" s="67">
        <f t="shared" ref="AM42:BN42" si="17">+AL61</f>
        <v>2285690.3064415869</v>
      </c>
      <c r="AN42" s="67">
        <f t="shared" si="17"/>
        <v>2424569.8990784087</v>
      </c>
      <c r="AO42" s="67">
        <f t="shared" si="17"/>
        <v>2567615.8794943355</v>
      </c>
      <c r="AP42" s="67">
        <f t="shared" si="17"/>
        <v>2714953.2393227392</v>
      </c>
      <c r="AQ42" s="67">
        <f t="shared" si="17"/>
        <v>2866710.7199459951</v>
      </c>
      <c r="AR42" s="67">
        <f t="shared" si="17"/>
        <v>3048819.6966939028</v>
      </c>
      <c r="AS42" s="67">
        <f t="shared" si="17"/>
        <v>3236391.9427442476</v>
      </c>
      <c r="AT42" s="67">
        <f t="shared" si="17"/>
        <v>3429591.3561761025</v>
      </c>
      <c r="AU42" s="67">
        <f t="shared" si="17"/>
        <v>3628586.7520109131</v>
      </c>
      <c r="AV42" s="67">
        <f t="shared" si="17"/>
        <v>3833552.0097207678</v>
      </c>
      <c r="AW42" s="67">
        <f t="shared" si="17"/>
        <v>4044666.2251619184</v>
      </c>
      <c r="AX42" s="67">
        <f t="shared" si="17"/>
        <v>4262113.8670663033</v>
      </c>
      <c r="AY42" s="67">
        <f t="shared" si="17"/>
        <v>4486084.9382278202</v>
      </c>
      <c r="AZ42" s="67">
        <f t="shared" si="17"/>
        <v>4716775.1415241826</v>
      </c>
      <c r="BA42" s="67">
        <f t="shared" si="17"/>
        <v>4954386.0509194359</v>
      </c>
      <c r="BB42" s="67">
        <f t="shared" si="17"/>
        <v>5199125.2875965461</v>
      </c>
      <c r="BC42" s="67">
        <f t="shared" si="17"/>
        <v>5451206.7013739701</v>
      </c>
      <c r="BD42" s="67">
        <f t="shared" si="17"/>
        <v>5741100.3272180073</v>
      </c>
      <c r="BE42" s="67">
        <f t="shared" si="17"/>
        <v>6039690.7618373651</v>
      </c>
      <c r="BF42" s="67">
        <f t="shared" si="17"/>
        <v>6347238.9094953043</v>
      </c>
      <c r="BG42" s="67">
        <f t="shared" si="17"/>
        <v>6664013.5015829829</v>
      </c>
      <c r="BH42" s="67">
        <f t="shared" si="17"/>
        <v>6990291.3314332915</v>
      </c>
      <c r="BI42" s="67">
        <f t="shared" si="17"/>
        <v>7326357.4961791085</v>
      </c>
      <c r="BJ42" s="67">
        <f t="shared" si="17"/>
        <v>7672505.6458673002</v>
      </c>
      <c r="BK42" s="67">
        <f t="shared" si="17"/>
        <v>8029038.2400461379</v>
      </c>
      <c r="BL42" s="67">
        <f t="shared" si="17"/>
        <v>8396266.8120503388</v>
      </c>
      <c r="BM42" s="67">
        <f t="shared" si="17"/>
        <v>8774512.2412146665</v>
      </c>
      <c r="BN42" s="67">
        <f t="shared" si="17"/>
        <v>9164105.0332539249</v>
      </c>
      <c r="BO42" s="67"/>
      <c r="BP42" s="67">
        <f>+BO61</f>
        <v>0</v>
      </c>
      <c r="BQ42" s="67">
        <f>+BP61</f>
        <v>446164.29467915185</v>
      </c>
      <c r="BR42" s="67">
        <f>+BQ61</f>
        <v>1249874.3984998595</v>
      </c>
      <c r="BS42" s="67">
        <f>+BR61</f>
        <v>2805786.8037228324</v>
      </c>
      <c r="BT42" s="67">
        <f>+BS61</f>
        <v>5390282.7851508055</v>
      </c>
    </row>
    <row r="43" spans="1:72" ht="18" customHeight="1" outlineLevel="1" x14ac:dyDescent="0.35">
      <c r="A43" s="20"/>
      <c r="B43" s="20"/>
      <c r="C43" s="20" t="str">
        <f t="shared" ref="C43:C60" si="18">C9</f>
        <v># de clientes Assinatura Fremium</v>
      </c>
      <c r="D43" s="20"/>
      <c r="E43" s="20"/>
      <c r="F43" s="68">
        <f>'1.Premissas Receitas'!C25</f>
        <v>1</v>
      </c>
      <c r="G43" s="66">
        <f t="shared" ref="G43:AL43" si="19">$F$43*G9</f>
        <v>1</v>
      </c>
      <c r="H43" s="66">
        <f t="shared" si="19"/>
        <v>1.03</v>
      </c>
      <c r="I43" s="66">
        <f t="shared" si="19"/>
        <v>1.0609</v>
      </c>
      <c r="J43" s="66">
        <f t="shared" si="19"/>
        <v>1.092727</v>
      </c>
      <c r="K43" s="66">
        <f t="shared" si="19"/>
        <v>1.1255088099999999</v>
      </c>
      <c r="L43" s="66">
        <f t="shared" si="19"/>
        <v>1.1592740742999998</v>
      </c>
      <c r="M43" s="66">
        <f t="shared" si="19"/>
        <v>1.1940522965289999</v>
      </c>
      <c r="N43" s="66">
        <f t="shared" si="19"/>
        <v>1.22987386542487</v>
      </c>
      <c r="O43" s="66">
        <f t="shared" si="19"/>
        <v>1.2667700813876162</v>
      </c>
      <c r="P43" s="66">
        <f t="shared" si="19"/>
        <v>1.3047731838292447</v>
      </c>
      <c r="Q43" s="66">
        <f t="shared" si="19"/>
        <v>1.343916379344122</v>
      </c>
      <c r="R43" s="66">
        <f t="shared" si="19"/>
        <v>1.3842338707244457</v>
      </c>
      <c r="S43" s="66">
        <f t="shared" si="19"/>
        <v>1.9379274190142239</v>
      </c>
      <c r="T43" s="66">
        <f t="shared" si="19"/>
        <v>1.9960652415846507</v>
      </c>
      <c r="U43" s="66">
        <f t="shared" si="19"/>
        <v>2.05594719883219</v>
      </c>
      <c r="V43" s="66">
        <f t="shared" si="19"/>
        <v>2.1176256147971557</v>
      </c>
      <c r="W43" s="66">
        <f t="shared" si="19"/>
        <v>2.1811543832410702</v>
      </c>
      <c r="X43" s="66">
        <f t="shared" si="19"/>
        <v>2.2465890147383023</v>
      </c>
      <c r="Y43" s="66">
        <f t="shared" si="19"/>
        <v>2.3139866851804514</v>
      </c>
      <c r="Z43" s="66">
        <f t="shared" si="19"/>
        <v>2.3834062857358651</v>
      </c>
      <c r="AA43" s="66">
        <f t="shared" si="19"/>
        <v>2.454908474307941</v>
      </c>
      <c r="AB43" s="66">
        <f t="shared" si="19"/>
        <v>2.5285557285371794</v>
      </c>
      <c r="AC43" s="66">
        <f t="shared" si="19"/>
        <v>2.6044124003932949</v>
      </c>
      <c r="AD43" s="66">
        <f t="shared" si="19"/>
        <v>2.6825447724050937</v>
      </c>
      <c r="AE43" s="66">
        <f t="shared" si="19"/>
        <v>3.4873082041266219</v>
      </c>
      <c r="AF43" s="66">
        <f t="shared" si="19"/>
        <v>3.5919274502504206</v>
      </c>
      <c r="AG43" s="66">
        <f t="shared" si="19"/>
        <v>3.6996852737579333</v>
      </c>
      <c r="AH43" s="66">
        <f t="shared" si="19"/>
        <v>3.8106758319706713</v>
      </c>
      <c r="AI43" s="66">
        <f t="shared" si="19"/>
        <v>3.9249961069297914</v>
      </c>
      <c r="AJ43" s="66">
        <f t="shared" si="19"/>
        <v>4.0427459901376848</v>
      </c>
      <c r="AK43" s="66">
        <f t="shared" si="19"/>
        <v>4.164028369841815</v>
      </c>
      <c r="AL43" s="66">
        <f t="shared" si="19"/>
        <v>4.2889492209370692</v>
      </c>
      <c r="AM43" s="66">
        <f t="shared" ref="AM43:BN43" si="20">$F$43*AM9</f>
        <v>4.4176176975651815</v>
      </c>
      <c r="AN43" s="66">
        <f t="shared" si="20"/>
        <v>4.550146228492137</v>
      </c>
      <c r="AO43" s="66">
        <f t="shared" si="20"/>
        <v>4.6866506153469008</v>
      </c>
      <c r="AP43" s="66">
        <f t="shared" si="20"/>
        <v>4.8272501338073077</v>
      </c>
      <c r="AQ43" s="66">
        <f t="shared" si="20"/>
        <v>5.7927001605687689</v>
      </c>
      <c r="AR43" s="66">
        <f t="shared" si="20"/>
        <v>5.9664811653858321</v>
      </c>
      <c r="AS43" s="66">
        <f t="shared" si="20"/>
        <v>6.1454756003474067</v>
      </c>
      <c r="AT43" s="66">
        <f t="shared" si="20"/>
        <v>6.329839868357829</v>
      </c>
      <c r="AU43" s="66">
        <f t="shared" si="20"/>
        <v>6.5197350644085637</v>
      </c>
      <c r="AV43" s="66">
        <f t="shared" si="20"/>
        <v>6.7153271163408208</v>
      </c>
      <c r="AW43" s="66">
        <f t="shared" si="20"/>
        <v>6.9167869298310451</v>
      </c>
      <c r="AX43" s="66">
        <f t="shared" si="20"/>
        <v>7.1242905377259769</v>
      </c>
      <c r="AY43" s="66">
        <f t="shared" si="20"/>
        <v>7.3380192538577562</v>
      </c>
      <c r="AZ43" s="66">
        <f t="shared" si="20"/>
        <v>7.558159831473489</v>
      </c>
      <c r="BA43" s="66">
        <f t="shared" si="20"/>
        <v>7.7849046264176938</v>
      </c>
      <c r="BB43" s="66">
        <f t="shared" si="20"/>
        <v>8.0184517652102247</v>
      </c>
      <c r="BC43" s="66">
        <f t="shared" si="20"/>
        <v>9.2212195299917585</v>
      </c>
      <c r="BD43" s="66">
        <f t="shared" si="20"/>
        <v>9.497856115891512</v>
      </c>
      <c r="BE43" s="66">
        <f t="shared" si="20"/>
        <v>9.7827917993682583</v>
      </c>
      <c r="BF43" s="66">
        <f t="shared" si="20"/>
        <v>10.076275553349307</v>
      </c>
      <c r="BG43" s="66">
        <f t="shared" si="20"/>
        <v>10.378563819949786</v>
      </c>
      <c r="BH43" s="66">
        <f t="shared" si="20"/>
        <v>10.689920734548279</v>
      </c>
      <c r="BI43" s="66">
        <f t="shared" si="20"/>
        <v>11.010618356584727</v>
      </c>
      <c r="BJ43" s="66">
        <f t="shared" si="20"/>
        <v>11.340936907282268</v>
      </c>
      <c r="BK43" s="66">
        <f t="shared" si="20"/>
        <v>11.681165014500737</v>
      </c>
      <c r="BL43" s="66">
        <f t="shared" si="20"/>
        <v>12.031599964935758</v>
      </c>
      <c r="BM43" s="66">
        <f t="shared" si="20"/>
        <v>12.39254796388383</v>
      </c>
      <c r="BN43" s="66">
        <f t="shared" si="20"/>
        <v>12.764324402800344</v>
      </c>
      <c r="BO43" s="20"/>
      <c r="BP43" s="66">
        <f t="shared" ref="BP43:BP60" si="21">SUM(G43:R43)</f>
        <v>14.192029561539298</v>
      </c>
      <c r="BQ43" s="66">
        <f t="shared" ref="BQ43:BQ60" si="22">SUM(T43:AD43)</f>
        <v>25.565195799753191</v>
      </c>
      <c r="BR43" s="66">
        <f t="shared" ref="BR43:BR60" si="23">SUM(AE43:AP43)</f>
        <v>49.491981123163541</v>
      </c>
      <c r="BS43" s="66">
        <f t="shared" ref="BS43:BS60" si="24">SUM(AQ43:BB43)</f>
        <v>82.210171919925429</v>
      </c>
      <c r="BT43" s="66">
        <f t="shared" ref="BT43:BT60" si="25">SUM(BC43:BN43)</f>
        <v>130.86782016308658</v>
      </c>
    </row>
    <row r="44" spans="1:72" ht="18" customHeight="1" outlineLevel="1" x14ac:dyDescent="0.35">
      <c r="A44" s="20"/>
      <c r="B44" s="20"/>
      <c r="C44" s="20" t="str">
        <f t="shared" si="18"/>
        <v># de clientes Assinatura 1</v>
      </c>
      <c r="D44" s="20"/>
      <c r="E44" s="20"/>
      <c r="F44" s="68">
        <f>'1.Premissas Receitas'!C26</f>
        <v>500</v>
      </c>
      <c r="G44" s="66">
        <f t="shared" ref="G44:AL44" si="26">$F$44*G10</f>
        <v>350</v>
      </c>
      <c r="H44" s="66">
        <f t="shared" si="26"/>
        <v>360.5</v>
      </c>
      <c r="I44" s="66">
        <f t="shared" si="26"/>
        <v>371.315</v>
      </c>
      <c r="J44" s="66">
        <f t="shared" si="26"/>
        <v>382.45445000000001</v>
      </c>
      <c r="K44" s="66">
        <f t="shared" si="26"/>
        <v>393.92808350000001</v>
      </c>
      <c r="L44" s="66">
        <f t="shared" si="26"/>
        <v>405.74592600500006</v>
      </c>
      <c r="M44" s="66">
        <f t="shared" si="26"/>
        <v>417.91830378515004</v>
      </c>
      <c r="N44" s="66">
        <f t="shared" si="26"/>
        <v>430.45585289870451</v>
      </c>
      <c r="O44" s="66">
        <f t="shared" si="26"/>
        <v>443.36952848566568</v>
      </c>
      <c r="P44" s="66">
        <f t="shared" si="26"/>
        <v>456.67061434023566</v>
      </c>
      <c r="Q44" s="66">
        <f t="shared" si="26"/>
        <v>470.37073277044271</v>
      </c>
      <c r="R44" s="66">
        <f t="shared" si="26"/>
        <v>484.48185475355598</v>
      </c>
      <c r="S44" s="66">
        <f t="shared" si="26"/>
        <v>678.27459665497838</v>
      </c>
      <c r="T44" s="66">
        <f t="shared" si="26"/>
        <v>698.62283455462773</v>
      </c>
      <c r="U44" s="66">
        <f t="shared" si="26"/>
        <v>719.58151959126644</v>
      </c>
      <c r="V44" s="66">
        <f t="shared" si="26"/>
        <v>741.16896517900443</v>
      </c>
      <c r="W44" s="66">
        <f t="shared" si="26"/>
        <v>763.40403413437457</v>
      </c>
      <c r="X44" s="66">
        <f t="shared" si="26"/>
        <v>786.30615515840577</v>
      </c>
      <c r="Y44" s="66">
        <f t="shared" si="26"/>
        <v>809.89533981315788</v>
      </c>
      <c r="Z44" s="66">
        <f t="shared" si="26"/>
        <v>834.19220000755251</v>
      </c>
      <c r="AA44" s="66">
        <f t="shared" si="26"/>
        <v>859.21796600777907</v>
      </c>
      <c r="AB44" s="66">
        <f t="shared" si="26"/>
        <v>884.99450498801241</v>
      </c>
      <c r="AC44" s="66">
        <f t="shared" si="26"/>
        <v>911.54434013765285</v>
      </c>
      <c r="AD44" s="66">
        <f t="shared" si="26"/>
        <v>938.89067034178242</v>
      </c>
      <c r="AE44" s="66">
        <f t="shared" si="26"/>
        <v>1220.557871444317</v>
      </c>
      <c r="AF44" s="66">
        <f t="shared" si="26"/>
        <v>1257.1746075876467</v>
      </c>
      <c r="AG44" s="66">
        <f t="shared" si="26"/>
        <v>1294.889845815276</v>
      </c>
      <c r="AH44" s="66">
        <f t="shared" si="26"/>
        <v>1333.7365411897342</v>
      </c>
      <c r="AI44" s="66">
        <f t="shared" si="26"/>
        <v>1373.7486374254263</v>
      </c>
      <c r="AJ44" s="66">
        <f t="shared" si="26"/>
        <v>1414.9610965481888</v>
      </c>
      <c r="AK44" s="66">
        <f t="shared" si="26"/>
        <v>1457.4099294446346</v>
      </c>
      <c r="AL44" s="66">
        <f t="shared" si="26"/>
        <v>1501.1322273279734</v>
      </c>
      <c r="AM44" s="66">
        <f t="shared" ref="AM44:BN44" si="27">$F$44*AM10</f>
        <v>1546.1661941478126</v>
      </c>
      <c r="AN44" s="66">
        <f t="shared" si="27"/>
        <v>1592.5511799722469</v>
      </c>
      <c r="AO44" s="66">
        <f t="shared" si="27"/>
        <v>1640.3277153714143</v>
      </c>
      <c r="AP44" s="66">
        <f t="shared" si="27"/>
        <v>1689.5375468325569</v>
      </c>
      <c r="AQ44" s="66">
        <f t="shared" si="27"/>
        <v>2027.4450561990682</v>
      </c>
      <c r="AR44" s="66">
        <f t="shared" si="27"/>
        <v>2088.2684078850402</v>
      </c>
      <c r="AS44" s="66">
        <f t="shared" si="27"/>
        <v>2150.9164601215916</v>
      </c>
      <c r="AT44" s="66">
        <f t="shared" si="27"/>
        <v>2215.4439539252394</v>
      </c>
      <c r="AU44" s="66">
        <f t="shared" si="27"/>
        <v>2281.9072725429965</v>
      </c>
      <c r="AV44" s="66">
        <f t="shared" si="27"/>
        <v>2350.3644907192866</v>
      </c>
      <c r="AW44" s="66">
        <f t="shared" si="27"/>
        <v>2420.875425440865</v>
      </c>
      <c r="AX44" s="66">
        <f t="shared" si="27"/>
        <v>2493.5016882040909</v>
      </c>
      <c r="AY44" s="66">
        <f t="shared" si="27"/>
        <v>2568.3067388502136</v>
      </c>
      <c r="AZ44" s="66">
        <f t="shared" si="27"/>
        <v>2645.35594101572</v>
      </c>
      <c r="BA44" s="66">
        <f t="shared" si="27"/>
        <v>2724.7166192461914</v>
      </c>
      <c r="BB44" s="66">
        <f t="shared" si="27"/>
        <v>2806.4581178235771</v>
      </c>
      <c r="BC44" s="66">
        <f t="shared" si="27"/>
        <v>3227.4268354971136</v>
      </c>
      <c r="BD44" s="66">
        <f t="shared" si="27"/>
        <v>3324.2496405620268</v>
      </c>
      <c r="BE44" s="66">
        <f t="shared" si="27"/>
        <v>3423.977129778888</v>
      </c>
      <c r="BF44" s="66">
        <f t="shared" si="27"/>
        <v>3526.6964436722546</v>
      </c>
      <c r="BG44" s="66">
        <f t="shared" si="27"/>
        <v>3632.4973369824224</v>
      </c>
      <c r="BH44" s="66">
        <f t="shared" si="27"/>
        <v>3741.4722570918948</v>
      </c>
      <c r="BI44" s="66">
        <f t="shared" si="27"/>
        <v>3853.716424804652</v>
      </c>
      <c r="BJ44" s="66">
        <f t="shared" si="27"/>
        <v>3969.3279175487914</v>
      </c>
      <c r="BK44" s="66">
        <f t="shared" si="27"/>
        <v>4088.407755075255</v>
      </c>
      <c r="BL44" s="66">
        <f t="shared" si="27"/>
        <v>4211.0599877275126</v>
      </c>
      <c r="BM44" s="66">
        <f t="shared" si="27"/>
        <v>4337.3917873593382</v>
      </c>
      <c r="BN44" s="66">
        <f t="shared" si="27"/>
        <v>4467.5135409801178</v>
      </c>
      <c r="BO44" s="20"/>
      <c r="BP44" s="66">
        <f t="shared" si="21"/>
        <v>4967.2103465387545</v>
      </c>
      <c r="BQ44" s="66">
        <f t="shared" si="22"/>
        <v>8947.8185299136167</v>
      </c>
      <c r="BR44" s="66">
        <f t="shared" si="23"/>
        <v>17322.193393107227</v>
      </c>
      <c r="BS44" s="66">
        <f t="shared" si="24"/>
        <v>28773.560171973884</v>
      </c>
      <c r="BT44" s="66">
        <f t="shared" si="25"/>
        <v>45803.737057080267</v>
      </c>
    </row>
    <row r="45" spans="1:72" ht="18" customHeight="1" outlineLevel="1" x14ac:dyDescent="0.35">
      <c r="A45" s="20"/>
      <c r="B45" s="20"/>
      <c r="C45" s="20" t="str">
        <f t="shared" si="18"/>
        <v># de clientes Assinatura 2</v>
      </c>
      <c r="D45" s="20"/>
      <c r="E45" s="20"/>
      <c r="F45" s="68">
        <f>'1.Premissas Receitas'!C27</f>
        <v>1400</v>
      </c>
      <c r="G45" s="66">
        <f t="shared" ref="G45:AL45" si="28">$F$45*G11</f>
        <v>420</v>
      </c>
      <c r="H45" s="66">
        <f t="shared" si="28"/>
        <v>432.6</v>
      </c>
      <c r="I45" s="66">
        <f t="shared" si="28"/>
        <v>445.57799999999997</v>
      </c>
      <c r="J45" s="66">
        <f t="shared" si="28"/>
        <v>458.94533999999999</v>
      </c>
      <c r="K45" s="66">
        <f t="shared" si="28"/>
        <v>472.71370019999995</v>
      </c>
      <c r="L45" s="66">
        <f t="shared" si="28"/>
        <v>486.89511120600002</v>
      </c>
      <c r="M45" s="66">
        <f t="shared" si="28"/>
        <v>501.50196454217996</v>
      </c>
      <c r="N45" s="66">
        <f t="shared" si="28"/>
        <v>516.54702347844534</v>
      </c>
      <c r="O45" s="66">
        <f t="shared" si="28"/>
        <v>532.04343418279882</v>
      </c>
      <c r="P45" s="66">
        <f t="shared" si="28"/>
        <v>548.00473720828268</v>
      </c>
      <c r="Q45" s="66">
        <f t="shared" si="28"/>
        <v>564.44487932453114</v>
      </c>
      <c r="R45" s="66">
        <f t="shared" si="28"/>
        <v>581.37822570426715</v>
      </c>
      <c r="S45" s="66">
        <f t="shared" si="28"/>
        <v>813.92951598597415</v>
      </c>
      <c r="T45" s="66">
        <f t="shared" si="28"/>
        <v>838.34740146555328</v>
      </c>
      <c r="U45" s="66">
        <f t="shared" si="28"/>
        <v>863.49782350951989</v>
      </c>
      <c r="V45" s="66">
        <f t="shared" si="28"/>
        <v>889.40275821480543</v>
      </c>
      <c r="W45" s="66">
        <f t="shared" si="28"/>
        <v>916.08484096124948</v>
      </c>
      <c r="X45" s="66">
        <f t="shared" si="28"/>
        <v>943.56738619008695</v>
      </c>
      <c r="Y45" s="66">
        <f t="shared" si="28"/>
        <v>971.87440777578956</v>
      </c>
      <c r="Z45" s="66">
        <f t="shared" si="28"/>
        <v>1001.0306400090632</v>
      </c>
      <c r="AA45" s="66">
        <f t="shared" si="28"/>
        <v>1031.0615592093352</v>
      </c>
      <c r="AB45" s="66">
        <f t="shared" si="28"/>
        <v>1061.993405985615</v>
      </c>
      <c r="AC45" s="66">
        <f t="shared" si="28"/>
        <v>1093.8532081651836</v>
      </c>
      <c r="AD45" s="66">
        <f t="shared" si="28"/>
        <v>1126.668804410139</v>
      </c>
      <c r="AE45" s="66">
        <f t="shared" si="28"/>
        <v>1464.6694457331807</v>
      </c>
      <c r="AF45" s="66">
        <f t="shared" si="28"/>
        <v>1508.6095291051763</v>
      </c>
      <c r="AG45" s="66">
        <f t="shared" si="28"/>
        <v>1553.8678149783316</v>
      </c>
      <c r="AH45" s="66">
        <f t="shared" si="28"/>
        <v>1600.4838494276817</v>
      </c>
      <c r="AI45" s="66">
        <f t="shared" si="28"/>
        <v>1648.4983649105122</v>
      </c>
      <c r="AJ45" s="66">
        <f t="shared" si="28"/>
        <v>1697.9533158578276</v>
      </c>
      <c r="AK45" s="66">
        <f t="shared" si="28"/>
        <v>1748.8919153335623</v>
      </c>
      <c r="AL45" s="66">
        <f t="shared" si="28"/>
        <v>1801.3586727935692</v>
      </c>
      <c r="AM45" s="66">
        <f t="shared" ref="AM45:BN45" si="29">$F$45*AM11</f>
        <v>1855.3994329773761</v>
      </c>
      <c r="AN45" s="66">
        <f t="shared" si="29"/>
        <v>1911.0614159666975</v>
      </c>
      <c r="AO45" s="66">
        <f t="shared" si="29"/>
        <v>1968.3932584456984</v>
      </c>
      <c r="AP45" s="66">
        <f t="shared" si="29"/>
        <v>2027.4450561990695</v>
      </c>
      <c r="AQ45" s="66">
        <f t="shared" si="29"/>
        <v>2432.9340674388832</v>
      </c>
      <c r="AR45" s="66">
        <f t="shared" si="29"/>
        <v>2505.9220894620498</v>
      </c>
      <c r="AS45" s="66">
        <f t="shared" si="29"/>
        <v>2581.0997521459112</v>
      </c>
      <c r="AT45" s="66">
        <f t="shared" si="29"/>
        <v>2658.5327447102886</v>
      </c>
      <c r="AU45" s="66">
        <f t="shared" si="29"/>
        <v>2738.2887270515971</v>
      </c>
      <c r="AV45" s="66">
        <f t="shared" si="29"/>
        <v>2820.4373888631453</v>
      </c>
      <c r="AW45" s="66">
        <f t="shared" si="29"/>
        <v>2905.0505105290399</v>
      </c>
      <c r="AX45" s="66">
        <f t="shared" si="29"/>
        <v>2992.2020258449111</v>
      </c>
      <c r="AY45" s="66">
        <f t="shared" si="29"/>
        <v>3081.968086620258</v>
      </c>
      <c r="AZ45" s="66">
        <f t="shared" si="29"/>
        <v>3174.427129218866</v>
      </c>
      <c r="BA45" s="66">
        <f t="shared" si="29"/>
        <v>3269.6599430954316</v>
      </c>
      <c r="BB45" s="66">
        <f t="shared" si="29"/>
        <v>3367.7497413882948</v>
      </c>
      <c r="BC45" s="66">
        <f t="shared" si="29"/>
        <v>3872.9122025965389</v>
      </c>
      <c r="BD45" s="66">
        <f t="shared" si="29"/>
        <v>3989.099568674435</v>
      </c>
      <c r="BE45" s="66">
        <f t="shared" si="29"/>
        <v>4108.7725557346675</v>
      </c>
      <c r="BF45" s="66">
        <f t="shared" si="29"/>
        <v>4232.0357324067081</v>
      </c>
      <c r="BG45" s="66">
        <f t="shared" si="29"/>
        <v>4358.9968043789095</v>
      </c>
      <c r="BH45" s="66">
        <f t="shared" si="29"/>
        <v>4489.7667085102767</v>
      </c>
      <c r="BI45" s="66">
        <f t="shared" si="29"/>
        <v>4624.4597097655851</v>
      </c>
      <c r="BJ45" s="66">
        <f t="shared" si="29"/>
        <v>4763.1935010585521</v>
      </c>
      <c r="BK45" s="66">
        <f t="shared" si="29"/>
        <v>4906.089306090309</v>
      </c>
      <c r="BL45" s="66">
        <f t="shared" si="29"/>
        <v>5053.2719852730188</v>
      </c>
      <c r="BM45" s="66">
        <f t="shared" si="29"/>
        <v>5204.8701448312086</v>
      </c>
      <c r="BN45" s="66">
        <f t="shared" si="29"/>
        <v>5361.0162491761457</v>
      </c>
      <c r="BO45" s="20"/>
      <c r="BP45" s="66">
        <f t="shared" si="21"/>
        <v>5960.6524158465054</v>
      </c>
      <c r="BQ45" s="66">
        <f t="shared" si="22"/>
        <v>10737.382235896341</v>
      </c>
      <c r="BR45" s="66">
        <f t="shared" si="23"/>
        <v>20786.632071728687</v>
      </c>
      <c r="BS45" s="66">
        <f t="shared" si="24"/>
        <v>34528.272206368674</v>
      </c>
      <c r="BT45" s="66">
        <f t="shared" si="25"/>
        <v>54964.484468496361</v>
      </c>
    </row>
    <row r="46" spans="1:72" ht="18" customHeight="1" outlineLevel="1" x14ac:dyDescent="0.35">
      <c r="A46" s="20"/>
      <c r="B46" s="20"/>
      <c r="C46" s="20" t="str">
        <f t="shared" si="18"/>
        <v># de clientes marketplace % Comissão 1</v>
      </c>
      <c r="D46" s="20"/>
      <c r="E46" s="20"/>
      <c r="F46" s="68">
        <f>'1.Premissas Receitas'!C33</f>
        <v>1</v>
      </c>
      <c r="G46" s="66">
        <f t="shared" ref="G46:AL46" si="30">$F$46*G12</f>
        <v>0</v>
      </c>
      <c r="H46" s="66">
        <f t="shared" si="30"/>
        <v>0</v>
      </c>
      <c r="I46" s="66">
        <f t="shared" si="30"/>
        <v>0</v>
      </c>
      <c r="J46" s="66">
        <f t="shared" si="30"/>
        <v>0</v>
      </c>
      <c r="K46" s="66">
        <f t="shared" si="30"/>
        <v>0</v>
      </c>
      <c r="L46" s="66">
        <f t="shared" si="30"/>
        <v>0</v>
      </c>
      <c r="M46" s="66">
        <f t="shared" si="30"/>
        <v>0</v>
      </c>
      <c r="N46" s="66">
        <f t="shared" si="30"/>
        <v>0</v>
      </c>
      <c r="O46" s="66">
        <f t="shared" si="30"/>
        <v>0</v>
      </c>
      <c r="P46" s="66">
        <f t="shared" si="30"/>
        <v>0</v>
      </c>
      <c r="Q46" s="66">
        <f t="shared" si="30"/>
        <v>0</v>
      </c>
      <c r="R46" s="66">
        <f t="shared" si="30"/>
        <v>0</v>
      </c>
      <c r="S46" s="66">
        <f t="shared" si="30"/>
        <v>0</v>
      </c>
      <c r="T46" s="66">
        <f t="shared" si="30"/>
        <v>0</v>
      </c>
      <c r="U46" s="66">
        <f t="shared" si="30"/>
        <v>0</v>
      </c>
      <c r="V46" s="66">
        <f t="shared" si="30"/>
        <v>0</v>
      </c>
      <c r="W46" s="66">
        <f t="shared" si="30"/>
        <v>0</v>
      </c>
      <c r="X46" s="66">
        <f t="shared" si="30"/>
        <v>0</v>
      </c>
      <c r="Y46" s="66">
        <f t="shared" si="30"/>
        <v>0</v>
      </c>
      <c r="Z46" s="66">
        <f t="shared" si="30"/>
        <v>0</v>
      </c>
      <c r="AA46" s="66">
        <f t="shared" si="30"/>
        <v>0</v>
      </c>
      <c r="AB46" s="66">
        <f t="shared" si="30"/>
        <v>0</v>
      </c>
      <c r="AC46" s="66">
        <f t="shared" si="30"/>
        <v>0</v>
      </c>
      <c r="AD46" s="66">
        <f t="shared" si="30"/>
        <v>0</v>
      </c>
      <c r="AE46" s="66">
        <f t="shared" si="30"/>
        <v>0</v>
      </c>
      <c r="AF46" s="66">
        <f t="shared" si="30"/>
        <v>0</v>
      </c>
      <c r="AG46" s="66">
        <f t="shared" si="30"/>
        <v>0</v>
      </c>
      <c r="AH46" s="66">
        <f t="shared" si="30"/>
        <v>0</v>
      </c>
      <c r="AI46" s="66">
        <f t="shared" si="30"/>
        <v>0</v>
      </c>
      <c r="AJ46" s="66">
        <f t="shared" si="30"/>
        <v>0</v>
      </c>
      <c r="AK46" s="66">
        <f t="shared" si="30"/>
        <v>0</v>
      </c>
      <c r="AL46" s="66">
        <f t="shared" si="30"/>
        <v>0</v>
      </c>
      <c r="AM46" s="66">
        <f t="shared" ref="AM46:BN46" si="31">$F$46*AM12</f>
        <v>0</v>
      </c>
      <c r="AN46" s="66">
        <f t="shared" si="31"/>
        <v>0</v>
      </c>
      <c r="AO46" s="66">
        <f t="shared" si="31"/>
        <v>0</v>
      </c>
      <c r="AP46" s="66">
        <f t="shared" si="31"/>
        <v>0</v>
      </c>
      <c r="AQ46" s="66">
        <f t="shared" si="31"/>
        <v>0</v>
      </c>
      <c r="AR46" s="66">
        <f t="shared" si="31"/>
        <v>0</v>
      </c>
      <c r="AS46" s="66">
        <f t="shared" si="31"/>
        <v>0</v>
      </c>
      <c r="AT46" s="66">
        <f t="shared" si="31"/>
        <v>0</v>
      </c>
      <c r="AU46" s="66">
        <f t="shared" si="31"/>
        <v>0</v>
      </c>
      <c r="AV46" s="66">
        <f t="shared" si="31"/>
        <v>0</v>
      </c>
      <c r="AW46" s="66">
        <f t="shared" si="31"/>
        <v>0</v>
      </c>
      <c r="AX46" s="66">
        <f t="shared" si="31"/>
        <v>0</v>
      </c>
      <c r="AY46" s="66">
        <f t="shared" si="31"/>
        <v>0</v>
      </c>
      <c r="AZ46" s="66">
        <f t="shared" si="31"/>
        <v>0</v>
      </c>
      <c r="BA46" s="66">
        <f t="shared" si="31"/>
        <v>0</v>
      </c>
      <c r="BB46" s="66">
        <f t="shared" si="31"/>
        <v>0</v>
      </c>
      <c r="BC46" s="66">
        <f t="shared" si="31"/>
        <v>0</v>
      </c>
      <c r="BD46" s="66">
        <f t="shared" si="31"/>
        <v>0</v>
      </c>
      <c r="BE46" s="66">
        <f t="shared" si="31"/>
        <v>0</v>
      </c>
      <c r="BF46" s="66">
        <f t="shared" si="31"/>
        <v>0</v>
      </c>
      <c r="BG46" s="66">
        <f t="shared" si="31"/>
        <v>0</v>
      </c>
      <c r="BH46" s="66">
        <f t="shared" si="31"/>
        <v>0</v>
      </c>
      <c r="BI46" s="66">
        <f t="shared" si="31"/>
        <v>0</v>
      </c>
      <c r="BJ46" s="66">
        <f t="shared" si="31"/>
        <v>0</v>
      </c>
      <c r="BK46" s="66">
        <f t="shared" si="31"/>
        <v>0</v>
      </c>
      <c r="BL46" s="66">
        <f t="shared" si="31"/>
        <v>0</v>
      </c>
      <c r="BM46" s="66">
        <f t="shared" si="31"/>
        <v>0</v>
      </c>
      <c r="BN46" s="66">
        <f t="shared" si="31"/>
        <v>0</v>
      </c>
      <c r="BO46" s="20"/>
      <c r="BP46" s="66">
        <f t="shared" si="21"/>
        <v>0</v>
      </c>
      <c r="BQ46" s="66">
        <f t="shared" si="22"/>
        <v>0</v>
      </c>
      <c r="BR46" s="66">
        <f t="shared" si="23"/>
        <v>0</v>
      </c>
      <c r="BS46" s="66">
        <f t="shared" si="24"/>
        <v>0</v>
      </c>
      <c r="BT46" s="66">
        <f t="shared" si="25"/>
        <v>0</v>
      </c>
    </row>
    <row r="47" spans="1:72" ht="18" customHeight="1" outlineLevel="1" x14ac:dyDescent="0.35">
      <c r="A47" s="20"/>
      <c r="B47" s="20"/>
      <c r="C47" s="20" t="str">
        <f t="shared" si="18"/>
        <v># de clientes marketplace % Comissão 2</v>
      </c>
      <c r="D47" s="20"/>
      <c r="E47" s="20"/>
      <c r="F47" s="68">
        <f>'1.Premissas Receitas'!C34</f>
        <v>1</v>
      </c>
      <c r="G47" s="66">
        <f t="shared" ref="G47:AL47" si="32">$F$47*G13</f>
        <v>0</v>
      </c>
      <c r="H47" s="66">
        <f t="shared" si="32"/>
        <v>0</v>
      </c>
      <c r="I47" s="66">
        <f t="shared" si="32"/>
        <v>0</v>
      </c>
      <c r="J47" s="66">
        <f t="shared" si="32"/>
        <v>0</v>
      </c>
      <c r="K47" s="66">
        <f t="shared" si="32"/>
        <v>0</v>
      </c>
      <c r="L47" s="66">
        <f t="shared" si="32"/>
        <v>0</v>
      </c>
      <c r="M47" s="66">
        <f t="shared" si="32"/>
        <v>0</v>
      </c>
      <c r="N47" s="66">
        <f t="shared" si="32"/>
        <v>0</v>
      </c>
      <c r="O47" s="66">
        <f t="shared" si="32"/>
        <v>0</v>
      </c>
      <c r="P47" s="66">
        <f t="shared" si="32"/>
        <v>0</v>
      </c>
      <c r="Q47" s="66">
        <f t="shared" si="32"/>
        <v>0</v>
      </c>
      <c r="R47" s="66">
        <f t="shared" si="32"/>
        <v>0</v>
      </c>
      <c r="S47" s="66">
        <f t="shared" si="32"/>
        <v>0</v>
      </c>
      <c r="T47" s="66">
        <f t="shared" si="32"/>
        <v>0</v>
      </c>
      <c r="U47" s="66">
        <f t="shared" si="32"/>
        <v>0</v>
      </c>
      <c r="V47" s="66">
        <f t="shared" si="32"/>
        <v>0</v>
      </c>
      <c r="W47" s="66">
        <f t="shared" si="32"/>
        <v>0</v>
      </c>
      <c r="X47" s="66">
        <f t="shared" si="32"/>
        <v>0</v>
      </c>
      <c r="Y47" s="66">
        <f t="shared" si="32"/>
        <v>0</v>
      </c>
      <c r="Z47" s="66">
        <f t="shared" si="32"/>
        <v>0</v>
      </c>
      <c r="AA47" s="66">
        <f t="shared" si="32"/>
        <v>0</v>
      </c>
      <c r="AB47" s="66">
        <f t="shared" si="32"/>
        <v>0</v>
      </c>
      <c r="AC47" s="66">
        <f t="shared" si="32"/>
        <v>0</v>
      </c>
      <c r="AD47" s="66">
        <f t="shared" si="32"/>
        <v>0</v>
      </c>
      <c r="AE47" s="66">
        <f t="shared" si="32"/>
        <v>0</v>
      </c>
      <c r="AF47" s="66">
        <f t="shared" si="32"/>
        <v>0</v>
      </c>
      <c r="AG47" s="66">
        <f t="shared" si="32"/>
        <v>0</v>
      </c>
      <c r="AH47" s="66">
        <f t="shared" si="32"/>
        <v>0</v>
      </c>
      <c r="AI47" s="66">
        <f t="shared" si="32"/>
        <v>0</v>
      </c>
      <c r="AJ47" s="66">
        <f t="shared" si="32"/>
        <v>0</v>
      </c>
      <c r="AK47" s="66">
        <f t="shared" si="32"/>
        <v>0</v>
      </c>
      <c r="AL47" s="66">
        <f t="shared" si="32"/>
        <v>0</v>
      </c>
      <c r="AM47" s="66">
        <f t="shared" ref="AM47:BN47" si="33">$F$47*AM13</f>
        <v>0</v>
      </c>
      <c r="AN47" s="66">
        <f t="shared" si="33"/>
        <v>0</v>
      </c>
      <c r="AO47" s="66">
        <f t="shared" si="33"/>
        <v>0</v>
      </c>
      <c r="AP47" s="66">
        <f t="shared" si="33"/>
        <v>0</v>
      </c>
      <c r="AQ47" s="66">
        <f t="shared" si="33"/>
        <v>0</v>
      </c>
      <c r="AR47" s="66">
        <f t="shared" si="33"/>
        <v>0</v>
      </c>
      <c r="AS47" s="66">
        <f t="shared" si="33"/>
        <v>0</v>
      </c>
      <c r="AT47" s="66">
        <f t="shared" si="33"/>
        <v>0</v>
      </c>
      <c r="AU47" s="66">
        <f t="shared" si="33"/>
        <v>0</v>
      </c>
      <c r="AV47" s="66">
        <f t="shared" si="33"/>
        <v>0</v>
      </c>
      <c r="AW47" s="66">
        <f t="shared" si="33"/>
        <v>0</v>
      </c>
      <c r="AX47" s="66">
        <f t="shared" si="33"/>
        <v>0</v>
      </c>
      <c r="AY47" s="66">
        <f t="shared" si="33"/>
        <v>0</v>
      </c>
      <c r="AZ47" s="66">
        <f t="shared" si="33"/>
        <v>0</v>
      </c>
      <c r="BA47" s="66">
        <f t="shared" si="33"/>
        <v>0</v>
      </c>
      <c r="BB47" s="66">
        <f t="shared" si="33"/>
        <v>0</v>
      </c>
      <c r="BC47" s="66">
        <f t="shared" si="33"/>
        <v>0</v>
      </c>
      <c r="BD47" s="66">
        <f t="shared" si="33"/>
        <v>0</v>
      </c>
      <c r="BE47" s="66">
        <f t="shared" si="33"/>
        <v>0</v>
      </c>
      <c r="BF47" s="66">
        <f t="shared" si="33"/>
        <v>0</v>
      </c>
      <c r="BG47" s="66">
        <f t="shared" si="33"/>
        <v>0</v>
      </c>
      <c r="BH47" s="66">
        <f t="shared" si="33"/>
        <v>0</v>
      </c>
      <c r="BI47" s="66">
        <f t="shared" si="33"/>
        <v>0</v>
      </c>
      <c r="BJ47" s="66">
        <f t="shared" si="33"/>
        <v>0</v>
      </c>
      <c r="BK47" s="66">
        <f t="shared" si="33"/>
        <v>0</v>
      </c>
      <c r="BL47" s="66">
        <f t="shared" si="33"/>
        <v>0</v>
      </c>
      <c r="BM47" s="66">
        <f t="shared" si="33"/>
        <v>0</v>
      </c>
      <c r="BN47" s="66">
        <f t="shared" si="33"/>
        <v>0</v>
      </c>
      <c r="BO47" s="20"/>
      <c r="BP47" s="66">
        <f t="shared" si="21"/>
        <v>0</v>
      </c>
      <c r="BQ47" s="66">
        <f t="shared" si="22"/>
        <v>0</v>
      </c>
      <c r="BR47" s="66">
        <f t="shared" si="23"/>
        <v>0</v>
      </c>
      <c r="BS47" s="66">
        <f t="shared" si="24"/>
        <v>0</v>
      </c>
      <c r="BT47" s="66">
        <f t="shared" si="25"/>
        <v>0</v>
      </c>
    </row>
    <row r="48" spans="1:72" ht="18" customHeight="1" outlineLevel="1" x14ac:dyDescent="0.35">
      <c r="A48" s="20"/>
      <c r="B48" s="20"/>
      <c r="C48" s="20" t="str">
        <f t="shared" si="18"/>
        <v># de clientes marketplace % Comissão 3</v>
      </c>
      <c r="D48" s="20"/>
      <c r="E48" s="20"/>
      <c r="F48" s="68">
        <f>'1.Premissas Receitas'!C35</f>
        <v>1</v>
      </c>
      <c r="G48" s="66">
        <f t="shared" ref="G48:AL48" si="34">$F$48*G14</f>
        <v>0</v>
      </c>
      <c r="H48" s="66">
        <f t="shared" si="34"/>
        <v>0</v>
      </c>
      <c r="I48" s="66">
        <f t="shared" si="34"/>
        <v>0</v>
      </c>
      <c r="J48" s="66">
        <f t="shared" si="34"/>
        <v>0</v>
      </c>
      <c r="K48" s="66">
        <f t="shared" si="34"/>
        <v>0</v>
      </c>
      <c r="L48" s="66">
        <f t="shared" si="34"/>
        <v>0</v>
      </c>
      <c r="M48" s="66">
        <f t="shared" si="34"/>
        <v>0</v>
      </c>
      <c r="N48" s="66">
        <f t="shared" si="34"/>
        <v>0</v>
      </c>
      <c r="O48" s="66">
        <f t="shared" si="34"/>
        <v>0</v>
      </c>
      <c r="P48" s="66">
        <f t="shared" si="34"/>
        <v>0</v>
      </c>
      <c r="Q48" s="66">
        <f t="shared" si="34"/>
        <v>0</v>
      </c>
      <c r="R48" s="66">
        <f t="shared" si="34"/>
        <v>0</v>
      </c>
      <c r="S48" s="66">
        <f t="shared" si="34"/>
        <v>0</v>
      </c>
      <c r="T48" s="66">
        <f t="shared" si="34"/>
        <v>0</v>
      </c>
      <c r="U48" s="66">
        <f t="shared" si="34"/>
        <v>0</v>
      </c>
      <c r="V48" s="66">
        <f t="shared" si="34"/>
        <v>0</v>
      </c>
      <c r="W48" s="66">
        <f t="shared" si="34"/>
        <v>0</v>
      </c>
      <c r="X48" s="66">
        <f t="shared" si="34"/>
        <v>0</v>
      </c>
      <c r="Y48" s="66">
        <f t="shared" si="34"/>
        <v>0</v>
      </c>
      <c r="Z48" s="66">
        <f t="shared" si="34"/>
        <v>0</v>
      </c>
      <c r="AA48" s="66">
        <f t="shared" si="34"/>
        <v>0</v>
      </c>
      <c r="AB48" s="66">
        <f t="shared" si="34"/>
        <v>0</v>
      </c>
      <c r="AC48" s="66">
        <f t="shared" si="34"/>
        <v>0</v>
      </c>
      <c r="AD48" s="66">
        <f t="shared" si="34"/>
        <v>0</v>
      </c>
      <c r="AE48" s="66">
        <f t="shared" si="34"/>
        <v>0</v>
      </c>
      <c r="AF48" s="66">
        <f t="shared" si="34"/>
        <v>0</v>
      </c>
      <c r="AG48" s="66">
        <f t="shared" si="34"/>
        <v>0</v>
      </c>
      <c r="AH48" s="66">
        <f t="shared" si="34"/>
        <v>0</v>
      </c>
      <c r="AI48" s="66">
        <f t="shared" si="34"/>
        <v>0</v>
      </c>
      <c r="AJ48" s="66">
        <f t="shared" si="34"/>
        <v>0</v>
      </c>
      <c r="AK48" s="66">
        <f t="shared" si="34"/>
        <v>0</v>
      </c>
      <c r="AL48" s="66">
        <f t="shared" si="34"/>
        <v>0</v>
      </c>
      <c r="AM48" s="66">
        <f t="shared" ref="AM48:BN48" si="35">$F$48*AM14</f>
        <v>0</v>
      </c>
      <c r="AN48" s="66">
        <f t="shared" si="35"/>
        <v>0</v>
      </c>
      <c r="AO48" s="66">
        <f t="shared" si="35"/>
        <v>0</v>
      </c>
      <c r="AP48" s="66">
        <f t="shared" si="35"/>
        <v>0</v>
      </c>
      <c r="AQ48" s="66">
        <f t="shared" si="35"/>
        <v>0</v>
      </c>
      <c r="AR48" s="66">
        <f t="shared" si="35"/>
        <v>0</v>
      </c>
      <c r="AS48" s="66">
        <f t="shared" si="35"/>
        <v>0</v>
      </c>
      <c r="AT48" s="66">
        <f t="shared" si="35"/>
        <v>0</v>
      </c>
      <c r="AU48" s="66">
        <f t="shared" si="35"/>
        <v>0</v>
      </c>
      <c r="AV48" s="66">
        <f t="shared" si="35"/>
        <v>0</v>
      </c>
      <c r="AW48" s="66">
        <f t="shared" si="35"/>
        <v>0</v>
      </c>
      <c r="AX48" s="66">
        <f t="shared" si="35"/>
        <v>0</v>
      </c>
      <c r="AY48" s="66">
        <f t="shared" si="35"/>
        <v>0</v>
      </c>
      <c r="AZ48" s="66">
        <f t="shared" si="35"/>
        <v>0</v>
      </c>
      <c r="BA48" s="66">
        <f t="shared" si="35"/>
        <v>0</v>
      </c>
      <c r="BB48" s="66">
        <f t="shared" si="35"/>
        <v>0</v>
      </c>
      <c r="BC48" s="66">
        <f t="shared" si="35"/>
        <v>0</v>
      </c>
      <c r="BD48" s="66">
        <f t="shared" si="35"/>
        <v>0</v>
      </c>
      <c r="BE48" s="66">
        <f t="shared" si="35"/>
        <v>0</v>
      </c>
      <c r="BF48" s="66">
        <f t="shared" si="35"/>
        <v>0</v>
      </c>
      <c r="BG48" s="66">
        <f t="shared" si="35"/>
        <v>0</v>
      </c>
      <c r="BH48" s="66">
        <f t="shared" si="35"/>
        <v>0</v>
      </c>
      <c r="BI48" s="66">
        <f t="shared" si="35"/>
        <v>0</v>
      </c>
      <c r="BJ48" s="66">
        <f t="shared" si="35"/>
        <v>0</v>
      </c>
      <c r="BK48" s="66">
        <f t="shared" si="35"/>
        <v>0</v>
      </c>
      <c r="BL48" s="66">
        <f t="shared" si="35"/>
        <v>0</v>
      </c>
      <c r="BM48" s="66">
        <f t="shared" si="35"/>
        <v>0</v>
      </c>
      <c r="BN48" s="66">
        <f t="shared" si="35"/>
        <v>0</v>
      </c>
      <c r="BO48" s="20"/>
      <c r="BP48" s="66">
        <f t="shared" si="21"/>
        <v>0</v>
      </c>
      <c r="BQ48" s="66">
        <f t="shared" si="22"/>
        <v>0</v>
      </c>
      <c r="BR48" s="66">
        <f t="shared" si="23"/>
        <v>0</v>
      </c>
      <c r="BS48" s="66">
        <f t="shared" si="24"/>
        <v>0</v>
      </c>
      <c r="BT48" s="66">
        <f t="shared" si="25"/>
        <v>0</v>
      </c>
    </row>
    <row r="49" spans="1:72" ht="18" customHeight="1" outlineLevel="1" x14ac:dyDescent="0.35">
      <c r="A49" s="20"/>
      <c r="B49" s="20"/>
      <c r="C49" s="20" t="str">
        <f t="shared" si="18"/>
        <v># de clientes B2B Setup</v>
      </c>
      <c r="D49" s="20"/>
      <c r="E49" s="20"/>
      <c r="F49" s="68">
        <f>'1.Premissas Receitas'!C40</f>
        <v>15000</v>
      </c>
      <c r="G49" s="66">
        <f t="shared" ref="G49:AL49" si="36">$F$49*G15</f>
        <v>20000.000000000004</v>
      </c>
      <c r="H49" s="66">
        <f t="shared" si="36"/>
        <v>20600.000000000004</v>
      </c>
      <c r="I49" s="66">
        <f t="shared" si="36"/>
        <v>21218</v>
      </c>
      <c r="J49" s="66">
        <f t="shared" si="36"/>
        <v>21854.54</v>
      </c>
      <c r="K49" s="66">
        <f t="shared" si="36"/>
        <v>22510.176199999998</v>
      </c>
      <c r="L49" s="66">
        <f t="shared" si="36"/>
        <v>23185.481485999997</v>
      </c>
      <c r="M49" s="66">
        <f t="shared" si="36"/>
        <v>23881.045930579996</v>
      </c>
      <c r="N49" s="66">
        <f t="shared" si="36"/>
        <v>24597.477308497397</v>
      </c>
      <c r="O49" s="66">
        <f t="shared" si="36"/>
        <v>25335.401627752319</v>
      </c>
      <c r="P49" s="66">
        <f t="shared" si="36"/>
        <v>26095.463676584888</v>
      </c>
      <c r="Q49" s="66">
        <f t="shared" si="36"/>
        <v>26878.327586882435</v>
      </c>
      <c r="R49" s="66">
        <f t="shared" si="36"/>
        <v>27684.67741448891</v>
      </c>
      <c r="S49" s="66">
        <f t="shared" si="36"/>
        <v>38758.548380284468</v>
      </c>
      <c r="T49" s="66">
        <f t="shared" si="36"/>
        <v>39921.304831693</v>
      </c>
      <c r="U49" s="66">
        <f t="shared" si="36"/>
        <v>41118.943976643794</v>
      </c>
      <c r="V49" s="66">
        <f t="shared" si="36"/>
        <v>42352.512295943103</v>
      </c>
      <c r="W49" s="66">
        <f t="shared" si="36"/>
        <v>43623.087664821403</v>
      </c>
      <c r="X49" s="66">
        <f t="shared" si="36"/>
        <v>44931.780294766038</v>
      </c>
      <c r="Y49" s="66">
        <f t="shared" si="36"/>
        <v>46279.733703609018</v>
      </c>
      <c r="Z49" s="66">
        <f t="shared" si="36"/>
        <v>47668.125714717287</v>
      </c>
      <c r="AA49" s="66">
        <f t="shared" si="36"/>
        <v>49098.169486158811</v>
      </c>
      <c r="AB49" s="66">
        <f t="shared" si="36"/>
        <v>50571.114570743572</v>
      </c>
      <c r="AC49" s="66">
        <f t="shared" si="36"/>
        <v>52088.248007865877</v>
      </c>
      <c r="AD49" s="66">
        <f t="shared" si="36"/>
        <v>53650.895448101852</v>
      </c>
      <c r="AE49" s="66">
        <f t="shared" si="36"/>
        <v>69746.164082532414</v>
      </c>
      <c r="AF49" s="66">
        <f t="shared" si="36"/>
        <v>71838.549005008375</v>
      </c>
      <c r="AG49" s="66">
        <f t="shared" si="36"/>
        <v>73993.705475158626</v>
      </c>
      <c r="AH49" s="66">
        <f t="shared" si="36"/>
        <v>76213.51663941337</v>
      </c>
      <c r="AI49" s="66">
        <f t="shared" si="36"/>
        <v>78499.922138595779</v>
      </c>
      <c r="AJ49" s="66">
        <f t="shared" si="36"/>
        <v>80854.919802753648</v>
      </c>
      <c r="AK49" s="66">
        <f t="shared" si="36"/>
        <v>83280.567396836253</v>
      </c>
      <c r="AL49" s="66">
        <f t="shared" si="36"/>
        <v>85778.984418741355</v>
      </c>
      <c r="AM49" s="66">
        <f t="shared" ref="AM49:BN49" si="37">$F$49*AM15</f>
        <v>88352.353951303594</v>
      </c>
      <c r="AN49" s="66">
        <f t="shared" si="37"/>
        <v>91002.924569842697</v>
      </c>
      <c r="AO49" s="66">
        <f t="shared" si="37"/>
        <v>93733.012306937977</v>
      </c>
      <c r="AP49" s="66">
        <f t="shared" si="37"/>
        <v>96545.002676146105</v>
      </c>
      <c r="AQ49" s="66">
        <f t="shared" si="37"/>
        <v>115854.00321137533</v>
      </c>
      <c r="AR49" s="66">
        <f t="shared" si="37"/>
        <v>119329.62330771658</v>
      </c>
      <c r="AS49" s="66">
        <f t="shared" si="37"/>
        <v>122909.51200694811</v>
      </c>
      <c r="AT49" s="66">
        <f t="shared" si="37"/>
        <v>126596.79736715654</v>
      </c>
      <c r="AU49" s="66">
        <f t="shared" si="37"/>
        <v>130394.70128817123</v>
      </c>
      <c r="AV49" s="66">
        <f t="shared" si="37"/>
        <v>134306.54232681636</v>
      </c>
      <c r="AW49" s="66">
        <f t="shared" si="37"/>
        <v>138335.73859662085</v>
      </c>
      <c r="AX49" s="66">
        <f t="shared" si="37"/>
        <v>142485.81075451948</v>
      </c>
      <c r="AY49" s="66">
        <f t="shared" si="37"/>
        <v>146760.38507715505</v>
      </c>
      <c r="AZ49" s="66">
        <f t="shared" si="37"/>
        <v>151163.19662946969</v>
      </c>
      <c r="BA49" s="66">
        <f t="shared" si="37"/>
        <v>155698.09252835377</v>
      </c>
      <c r="BB49" s="66">
        <f t="shared" si="37"/>
        <v>160369.03530420439</v>
      </c>
      <c r="BC49" s="66">
        <f t="shared" si="37"/>
        <v>184424.39059983505</v>
      </c>
      <c r="BD49" s="66">
        <f t="shared" si="37"/>
        <v>189957.1223178301</v>
      </c>
      <c r="BE49" s="66">
        <f t="shared" si="37"/>
        <v>195655.83598736502</v>
      </c>
      <c r="BF49" s="66">
        <f t="shared" si="37"/>
        <v>201525.51106698596</v>
      </c>
      <c r="BG49" s="66">
        <f t="shared" si="37"/>
        <v>207571.27639899554</v>
      </c>
      <c r="BH49" s="66">
        <f t="shared" si="37"/>
        <v>213798.41469096544</v>
      </c>
      <c r="BI49" s="66">
        <f t="shared" si="37"/>
        <v>220212.36713169439</v>
      </c>
      <c r="BJ49" s="66">
        <f t="shared" si="37"/>
        <v>226818.73814564521</v>
      </c>
      <c r="BK49" s="66">
        <f t="shared" si="37"/>
        <v>233623.30029001457</v>
      </c>
      <c r="BL49" s="66">
        <f t="shared" si="37"/>
        <v>240631.99929871497</v>
      </c>
      <c r="BM49" s="66">
        <f t="shared" si="37"/>
        <v>247850.95927767645</v>
      </c>
      <c r="BN49" s="66">
        <f t="shared" si="37"/>
        <v>255286.48805600672</v>
      </c>
      <c r="BO49" s="20"/>
      <c r="BP49" s="66">
        <f t="shared" si="21"/>
        <v>283840.59123078594</v>
      </c>
      <c r="BQ49" s="66">
        <f t="shared" si="22"/>
        <v>511303.91599506378</v>
      </c>
      <c r="BR49" s="66">
        <f t="shared" si="23"/>
        <v>989839.62246327009</v>
      </c>
      <c r="BS49" s="66">
        <f t="shared" si="24"/>
        <v>1644203.4383985072</v>
      </c>
      <c r="BT49" s="66">
        <f t="shared" si="25"/>
        <v>2617356.4032617295</v>
      </c>
    </row>
    <row r="50" spans="1:72" ht="18" customHeight="1" outlineLevel="1" x14ac:dyDescent="0.35">
      <c r="A50" s="20"/>
      <c r="B50" s="20"/>
      <c r="C50" s="20" t="str">
        <f t="shared" si="18"/>
        <v># de clientes B2B Mensalidade</v>
      </c>
      <c r="D50" s="20"/>
      <c r="E50" s="20"/>
      <c r="F50" s="68">
        <f>'1.Premissas Receitas'!C41</f>
        <v>8000</v>
      </c>
      <c r="G50" s="66">
        <f t="shared" ref="G50:AL50" si="38">$F$50*G16</f>
        <v>10666.666666666668</v>
      </c>
      <c r="H50" s="66">
        <f t="shared" si="38"/>
        <v>10986.666666666668</v>
      </c>
      <c r="I50" s="66">
        <f t="shared" si="38"/>
        <v>11316.266666666668</v>
      </c>
      <c r="J50" s="66">
        <f t="shared" si="38"/>
        <v>11655.754666666668</v>
      </c>
      <c r="K50" s="66">
        <f t="shared" si="38"/>
        <v>12005.427306666666</v>
      </c>
      <c r="L50" s="66">
        <f t="shared" si="38"/>
        <v>12365.590125866665</v>
      </c>
      <c r="M50" s="66">
        <f t="shared" si="38"/>
        <v>12736.557829642665</v>
      </c>
      <c r="N50" s="66">
        <f t="shared" si="38"/>
        <v>13118.654564531946</v>
      </c>
      <c r="O50" s="66">
        <f t="shared" si="38"/>
        <v>13512.214201467903</v>
      </c>
      <c r="P50" s="66">
        <f t="shared" si="38"/>
        <v>13917.580627511939</v>
      </c>
      <c r="Q50" s="66">
        <f t="shared" si="38"/>
        <v>14335.108046337298</v>
      </c>
      <c r="R50" s="66">
        <f t="shared" si="38"/>
        <v>14765.161287727418</v>
      </c>
      <c r="S50" s="66">
        <f t="shared" si="38"/>
        <v>20671.225802818382</v>
      </c>
      <c r="T50" s="66">
        <f t="shared" si="38"/>
        <v>21291.362576902935</v>
      </c>
      <c r="U50" s="66">
        <f t="shared" si="38"/>
        <v>21930.103454210024</v>
      </c>
      <c r="V50" s="66">
        <f t="shared" si="38"/>
        <v>22588.006557836325</v>
      </c>
      <c r="W50" s="66">
        <f t="shared" si="38"/>
        <v>23265.646754571415</v>
      </c>
      <c r="X50" s="66">
        <f t="shared" si="38"/>
        <v>23963.616157208555</v>
      </c>
      <c r="Y50" s="66">
        <f t="shared" si="38"/>
        <v>24682.524641924811</v>
      </c>
      <c r="Z50" s="66">
        <f t="shared" si="38"/>
        <v>25423.000381182555</v>
      </c>
      <c r="AA50" s="66">
        <f t="shared" si="38"/>
        <v>26185.690392618031</v>
      </c>
      <c r="AB50" s="66">
        <f t="shared" si="38"/>
        <v>26971.26110439657</v>
      </c>
      <c r="AC50" s="66">
        <f t="shared" si="38"/>
        <v>27780.398937528465</v>
      </c>
      <c r="AD50" s="66">
        <f t="shared" si="38"/>
        <v>28613.810905654322</v>
      </c>
      <c r="AE50" s="66">
        <f t="shared" si="38"/>
        <v>37197.954177350613</v>
      </c>
      <c r="AF50" s="66">
        <f t="shared" si="38"/>
        <v>38313.892802671136</v>
      </c>
      <c r="AG50" s="66">
        <f t="shared" si="38"/>
        <v>39463.309586751267</v>
      </c>
      <c r="AH50" s="66">
        <f t="shared" si="38"/>
        <v>40647.208874353804</v>
      </c>
      <c r="AI50" s="66">
        <f t="shared" si="38"/>
        <v>41866.625140584416</v>
      </c>
      <c r="AJ50" s="66">
        <f t="shared" si="38"/>
        <v>43122.623894801945</v>
      </c>
      <c r="AK50" s="66">
        <f t="shared" si="38"/>
        <v>44416.302611646002</v>
      </c>
      <c r="AL50" s="66">
        <f t="shared" si="38"/>
        <v>45748.791689995385</v>
      </c>
      <c r="AM50" s="66">
        <f t="shared" ref="AM50:BN50" si="39">$F$50*AM16</f>
        <v>47121.255440695248</v>
      </c>
      <c r="AN50" s="66">
        <f t="shared" si="39"/>
        <v>48534.893103916103</v>
      </c>
      <c r="AO50" s="66">
        <f t="shared" si="39"/>
        <v>49990.939897033582</v>
      </c>
      <c r="AP50" s="66">
        <f t="shared" si="39"/>
        <v>51490.668093944594</v>
      </c>
      <c r="AQ50" s="66">
        <f t="shared" si="39"/>
        <v>61788.801712733512</v>
      </c>
      <c r="AR50" s="66">
        <f t="shared" si="39"/>
        <v>63642.465764115514</v>
      </c>
      <c r="AS50" s="66">
        <f t="shared" si="39"/>
        <v>65551.739737038981</v>
      </c>
      <c r="AT50" s="66">
        <f t="shared" si="39"/>
        <v>67518.291929150146</v>
      </c>
      <c r="AU50" s="66">
        <f t="shared" si="39"/>
        <v>69543.840687024654</v>
      </c>
      <c r="AV50" s="66">
        <f t="shared" si="39"/>
        <v>71630.155907635402</v>
      </c>
      <c r="AW50" s="66">
        <f t="shared" si="39"/>
        <v>73779.060584864448</v>
      </c>
      <c r="AX50" s="66">
        <f t="shared" si="39"/>
        <v>75992.432402410384</v>
      </c>
      <c r="AY50" s="66">
        <f t="shared" si="39"/>
        <v>78272.205374482699</v>
      </c>
      <c r="AZ50" s="66">
        <f t="shared" si="39"/>
        <v>80620.371535717175</v>
      </c>
      <c r="BA50" s="66">
        <f t="shared" si="39"/>
        <v>83038.982681788679</v>
      </c>
      <c r="BB50" s="66">
        <f t="shared" si="39"/>
        <v>85530.152162242346</v>
      </c>
      <c r="BC50" s="66">
        <f t="shared" si="39"/>
        <v>98359.674986578699</v>
      </c>
      <c r="BD50" s="66">
        <f t="shared" si="39"/>
        <v>101310.46523617605</v>
      </c>
      <c r="BE50" s="66">
        <f t="shared" si="39"/>
        <v>104349.77919326135</v>
      </c>
      <c r="BF50" s="66">
        <f t="shared" si="39"/>
        <v>107480.27256905918</v>
      </c>
      <c r="BG50" s="66">
        <f t="shared" si="39"/>
        <v>110704.68074613097</v>
      </c>
      <c r="BH50" s="66">
        <f t="shared" si="39"/>
        <v>114025.8211685149</v>
      </c>
      <c r="BI50" s="66">
        <f t="shared" si="39"/>
        <v>117446.59580357035</v>
      </c>
      <c r="BJ50" s="66">
        <f t="shared" si="39"/>
        <v>120969.99367767746</v>
      </c>
      <c r="BK50" s="66">
        <f t="shared" si="39"/>
        <v>124599.09348800777</v>
      </c>
      <c r="BL50" s="66">
        <f t="shared" si="39"/>
        <v>128337.06629264799</v>
      </c>
      <c r="BM50" s="66">
        <f t="shared" si="39"/>
        <v>132187.17828142745</v>
      </c>
      <c r="BN50" s="66">
        <f t="shared" si="39"/>
        <v>136152.79362987026</v>
      </c>
      <c r="BO50" s="20"/>
      <c r="BP50" s="66">
        <f t="shared" si="21"/>
        <v>151381.64865641916</v>
      </c>
      <c r="BQ50" s="66">
        <f t="shared" si="22"/>
        <v>272695.42186403403</v>
      </c>
      <c r="BR50" s="66">
        <f t="shared" si="23"/>
        <v>527914.46531374403</v>
      </c>
      <c r="BS50" s="66">
        <f t="shared" si="24"/>
        <v>876908.500479204</v>
      </c>
      <c r="BT50" s="66">
        <f t="shared" si="25"/>
        <v>1395923.4150729224</v>
      </c>
    </row>
    <row r="51" spans="1:72" ht="18" customHeight="1" outlineLevel="1" x14ac:dyDescent="0.35">
      <c r="A51" s="27"/>
      <c r="B51" s="27"/>
      <c r="C51" s="20" t="str">
        <f t="shared" si="18"/>
        <v># de clientes B2B Manutenção</v>
      </c>
      <c r="D51" s="27"/>
      <c r="E51" s="27"/>
      <c r="F51" s="68">
        <f>'1.Premissas Receitas'!C42</f>
        <v>1</v>
      </c>
      <c r="G51" s="66">
        <f t="shared" ref="G51:AL51" si="40">$F$51*G17</f>
        <v>0</v>
      </c>
      <c r="H51" s="66">
        <f t="shared" si="40"/>
        <v>0</v>
      </c>
      <c r="I51" s="66">
        <f t="shared" si="40"/>
        <v>0</v>
      </c>
      <c r="J51" s="66">
        <f t="shared" si="40"/>
        <v>0</v>
      </c>
      <c r="K51" s="66">
        <f t="shared" si="40"/>
        <v>0</v>
      </c>
      <c r="L51" s="66">
        <f t="shared" si="40"/>
        <v>0</v>
      </c>
      <c r="M51" s="66">
        <f t="shared" si="40"/>
        <v>0</v>
      </c>
      <c r="N51" s="66">
        <f t="shared" si="40"/>
        <v>0</v>
      </c>
      <c r="O51" s="66">
        <f t="shared" si="40"/>
        <v>0</v>
      </c>
      <c r="P51" s="66">
        <f t="shared" si="40"/>
        <v>0</v>
      </c>
      <c r="Q51" s="66">
        <f t="shared" si="40"/>
        <v>0</v>
      </c>
      <c r="R51" s="66">
        <f t="shared" si="40"/>
        <v>0</v>
      </c>
      <c r="S51" s="66">
        <f t="shared" si="40"/>
        <v>0</v>
      </c>
      <c r="T51" s="66">
        <f t="shared" si="40"/>
        <v>0</v>
      </c>
      <c r="U51" s="66">
        <f t="shared" si="40"/>
        <v>0</v>
      </c>
      <c r="V51" s="66">
        <f t="shared" si="40"/>
        <v>0</v>
      </c>
      <c r="W51" s="66">
        <f t="shared" si="40"/>
        <v>0</v>
      </c>
      <c r="X51" s="66">
        <f t="shared" si="40"/>
        <v>0</v>
      </c>
      <c r="Y51" s="66">
        <f t="shared" si="40"/>
        <v>0</v>
      </c>
      <c r="Z51" s="66">
        <f t="shared" si="40"/>
        <v>0</v>
      </c>
      <c r="AA51" s="66">
        <f t="shared" si="40"/>
        <v>0</v>
      </c>
      <c r="AB51" s="66">
        <f t="shared" si="40"/>
        <v>0</v>
      </c>
      <c r="AC51" s="66">
        <f t="shared" si="40"/>
        <v>0</v>
      </c>
      <c r="AD51" s="66">
        <f t="shared" si="40"/>
        <v>0</v>
      </c>
      <c r="AE51" s="66">
        <f t="shared" si="40"/>
        <v>0</v>
      </c>
      <c r="AF51" s="66">
        <f t="shared" si="40"/>
        <v>0</v>
      </c>
      <c r="AG51" s="66">
        <f t="shared" si="40"/>
        <v>0</v>
      </c>
      <c r="AH51" s="66">
        <f t="shared" si="40"/>
        <v>0</v>
      </c>
      <c r="AI51" s="66">
        <f t="shared" si="40"/>
        <v>0</v>
      </c>
      <c r="AJ51" s="66">
        <f t="shared" si="40"/>
        <v>0</v>
      </c>
      <c r="AK51" s="66">
        <f t="shared" si="40"/>
        <v>0</v>
      </c>
      <c r="AL51" s="66">
        <f t="shared" si="40"/>
        <v>0</v>
      </c>
      <c r="AM51" s="66">
        <f t="shared" ref="AM51:BN51" si="41">$F$51*AM17</f>
        <v>0</v>
      </c>
      <c r="AN51" s="66">
        <f t="shared" si="41"/>
        <v>0</v>
      </c>
      <c r="AO51" s="66">
        <f t="shared" si="41"/>
        <v>0</v>
      </c>
      <c r="AP51" s="66">
        <f t="shared" si="41"/>
        <v>0</v>
      </c>
      <c r="AQ51" s="66">
        <f t="shared" si="41"/>
        <v>0</v>
      </c>
      <c r="AR51" s="66">
        <f t="shared" si="41"/>
        <v>0</v>
      </c>
      <c r="AS51" s="66">
        <f t="shared" si="41"/>
        <v>0</v>
      </c>
      <c r="AT51" s="66">
        <f t="shared" si="41"/>
        <v>0</v>
      </c>
      <c r="AU51" s="66">
        <f t="shared" si="41"/>
        <v>0</v>
      </c>
      <c r="AV51" s="66">
        <f t="shared" si="41"/>
        <v>0</v>
      </c>
      <c r="AW51" s="66">
        <f t="shared" si="41"/>
        <v>0</v>
      </c>
      <c r="AX51" s="66">
        <f t="shared" si="41"/>
        <v>0</v>
      </c>
      <c r="AY51" s="66">
        <f t="shared" si="41"/>
        <v>0</v>
      </c>
      <c r="AZ51" s="66">
        <f t="shared" si="41"/>
        <v>0</v>
      </c>
      <c r="BA51" s="66">
        <f t="shared" si="41"/>
        <v>0</v>
      </c>
      <c r="BB51" s="66">
        <f t="shared" si="41"/>
        <v>0</v>
      </c>
      <c r="BC51" s="66">
        <f t="shared" si="41"/>
        <v>0</v>
      </c>
      <c r="BD51" s="66">
        <f t="shared" si="41"/>
        <v>0</v>
      </c>
      <c r="BE51" s="66">
        <f t="shared" si="41"/>
        <v>0</v>
      </c>
      <c r="BF51" s="66">
        <f t="shared" si="41"/>
        <v>0</v>
      </c>
      <c r="BG51" s="66">
        <f t="shared" si="41"/>
        <v>0</v>
      </c>
      <c r="BH51" s="66">
        <f t="shared" si="41"/>
        <v>0</v>
      </c>
      <c r="BI51" s="66">
        <f t="shared" si="41"/>
        <v>0</v>
      </c>
      <c r="BJ51" s="66">
        <f t="shared" si="41"/>
        <v>0</v>
      </c>
      <c r="BK51" s="66">
        <f t="shared" si="41"/>
        <v>0</v>
      </c>
      <c r="BL51" s="66">
        <f t="shared" si="41"/>
        <v>0</v>
      </c>
      <c r="BM51" s="66">
        <f t="shared" si="41"/>
        <v>0</v>
      </c>
      <c r="BN51" s="66">
        <f t="shared" si="41"/>
        <v>0</v>
      </c>
      <c r="BO51" s="20"/>
      <c r="BP51" s="66">
        <f t="shared" si="21"/>
        <v>0</v>
      </c>
      <c r="BQ51" s="66">
        <f t="shared" si="22"/>
        <v>0</v>
      </c>
      <c r="BR51" s="66">
        <f t="shared" si="23"/>
        <v>0</v>
      </c>
      <c r="BS51" s="66">
        <f t="shared" si="24"/>
        <v>0</v>
      </c>
      <c r="BT51" s="66">
        <f t="shared" si="25"/>
        <v>0</v>
      </c>
    </row>
    <row r="52" spans="1:72" ht="18" customHeight="1" outlineLevel="1" x14ac:dyDescent="0.35">
      <c r="A52" s="27"/>
      <c r="B52" s="27"/>
      <c r="C52" s="63" t="str">
        <f t="shared" si="18"/>
        <v># de clientes Conteudo/ Paywall 1</v>
      </c>
      <c r="D52" s="27"/>
      <c r="E52" s="27"/>
      <c r="F52" s="68">
        <f>'1.Premissas Receitas'!C48</f>
        <v>1</v>
      </c>
      <c r="G52" s="66">
        <f t="shared" ref="G52:AL52" si="42">$F$52*G18</f>
        <v>0</v>
      </c>
      <c r="H52" s="66">
        <f t="shared" si="42"/>
        <v>0</v>
      </c>
      <c r="I52" s="66">
        <f t="shared" si="42"/>
        <v>0</v>
      </c>
      <c r="J52" s="66">
        <f t="shared" si="42"/>
        <v>0</v>
      </c>
      <c r="K52" s="66">
        <f t="shared" si="42"/>
        <v>0</v>
      </c>
      <c r="L52" s="66">
        <f t="shared" si="42"/>
        <v>0</v>
      </c>
      <c r="M52" s="66">
        <f t="shared" si="42"/>
        <v>0</v>
      </c>
      <c r="N52" s="66">
        <f t="shared" si="42"/>
        <v>0</v>
      </c>
      <c r="O52" s="66">
        <f t="shared" si="42"/>
        <v>0</v>
      </c>
      <c r="P52" s="66">
        <f t="shared" si="42"/>
        <v>0</v>
      </c>
      <c r="Q52" s="66">
        <f t="shared" si="42"/>
        <v>0</v>
      </c>
      <c r="R52" s="66">
        <f t="shared" si="42"/>
        <v>0</v>
      </c>
      <c r="S52" s="66">
        <f t="shared" si="42"/>
        <v>0</v>
      </c>
      <c r="T52" s="66">
        <f t="shared" si="42"/>
        <v>0</v>
      </c>
      <c r="U52" s="66">
        <f t="shared" si="42"/>
        <v>0</v>
      </c>
      <c r="V52" s="66">
        <f t="shared" si="42"/>
        <v>0</v>
      </c>
      <c r="W52" s="66">
        <f t="shared" si="42"/>
        <v>0</v>
      </c>
      <c r="X52" s="66">
        <f t="shared" si="42"/>
        <v>0</v>
      </c>
      <c r="Y52" s="66">
        <f t="shared" si="42"/>
        <v>0</v>
      </c>
      <c r="Z52" s="66">
        <f t="shared" si="42"/>
        <v>0</v>
      </c>
      <c r="AA52" s="66">
        <f t="shared" si="42"/>
        <v>0</v>
      </c>
      <c r="AB52" s="66">
        <f t="shared" si="42"/>
        <v>0</v>
      </c>
      <c r="AC52" s="66">
        <f t="shared" si="42"/>
        <v>0</v>
      </c>
      <c r="AD52" s="66">
        <f t="shared" si="42"/>
        <v>0</v>
      </c>
      <c r="AE52" s="66">
        <f t="shared" si="42"/>
        <v>0</v>
      </c>
      <c r="AF52" s="66">
        <f t="shared" si="42"/>
        <v>0</v>
      </c>
      <c r="AG52" s="66">
        <f t="shared" si="42"/>
        <v>0</v>
      </c>
      <c r="AH52" s="66">
        <f t="shared" si="42"/>
        <v>0</v>
      </c>
      <c r="AI52" s="66">
        <f t="shared" si="42"/>
        <v>0</v>
      </c>
      <c r="AJ52" s="66">
        <f t="shared" si="42"/>
        <v>0</v>
      </c>
      <c r="AK52" s="66">
        <f t="shared" si="42"/>
        <v>0</v>
      </c>
      <c r="AL52" s="66">
        <f t="shared" si="42"/>
        <v>0</v>
      </c>
      <c r="AM52" s="66">
        <f t="shared" ref="AM52:BN52" si="43">$F$52*AM18</f>
        <v>0</v>
      </c>
      <c r="AN52" s="66">
        <f t="shared" si="43"/>
        <v>0</v>
      </c>
      <c r="AO52" s="66">
        <f t="shared" si="43"/>
        <v>0</v>
      </c>
      <c r="AP52" s="66">
        <f t="shared" si="43"/>
        <v>0</v>
      </c>
      <c r="AQ52" s="66">
        <f t="shared" si="43"/>
        <v>0</v>
      </c>
      <c r="AR52" s="66">
        <f t="shared" si="43"/>
        <v>0</v>
      </c>
      <c r="AS52" s="66">
        <f t="shared" si="43"/>
        <v>0</v>
      </c>
      <c r="AT52" s="66">
        <f t="shared" si="43"/>
        <v>0</v>
      </c>
      <c r="AU52" s="66">
        <f t="shared" si="43"/>
        <v>0</v>
      </c>
      <c r="AV52" s="66">
        <f t="shared" si="43"/>
        <v>0</v>
      </c>
      <c r="AW52" s="66">
        <f t="shared" si="43"/>
        <v>0</v>
      </c>
      <c r="AX52" s="66">
        <f t="shared" si="43"/>
        <v>0</v>
      </c>
      <c r="AY52" s="66">
        <f t="shared" si="43"/>
        <v>0</v>
      </c>
      <c r="AZ52" s="66">
        <f t="shared" si="43"/>
        <v>0</v>
      </c>
      <c r="BA52" s="66">
        <f t="shared" si="43"/>
        <v>0</v>
      </c>
      <c r="BB52" s="66">
        <f t="shared" si="43"/>
        <v>0</v>
      </c>
      <c r="BC52" s="66">
        <f t="shared" si="43"/>
        <v>0</v>
      </c>
      <c r="BD52" s="66">
        <f t="shared" si="43"/>
        <v>0</v>
      </c>
      <c r="BE52" s="66">
        <f t="shared" si="43"/>
        <v>0</v>
      </c>
      <c r="BF52" s="66">
        <f t="shared" si="43"/>
        <v>0</v>
      </c>
      <c r="BG52" s="66">
        <f t="shared" si="43"/>
        <v>0</v>
      </c>
      <c r="BH52" s="66">
        <f t="shared" si="43"/>
        <v>0</v>
      </c>
      <c r="BI52" s="66">
        <f t="shared" si="43"/>
        <v>0</v>
      </c>
      <c r="BJ52" s="66">
        <f t="shared" si="43"/>
        <v>0</v>
      </c>
      <c r="BK52" s="66">
        <f t="shared" si="43"/>
        <v>0</v>
      </c>
      <c r="BL52" s="66">
        <f t="shared" si="43"/>
        <v>0</v>
      </c>
      <c r="BM52" s="66">
        <f t="shared" si="43"/>
        <v>0</v>
      </c>
      <c r="BN52" s="66">
        <f t="shared" si="43"/>
        <v>0</v>
      </c>
      <c r="BO52" s="20"/>
      <c r="BP52" s="66">
        <f t="shared" si="21"/>
        <v>0</v>
      </c>
      <c r="BQ52" s="66">
        <f t="shared" si="22"/>
        <v>0</v>
      </c>
      <c r="BR52" s="66">
        <f t="shared" si="23"/>
        <v>0</v>
      </c>
      <c r="BS52" s="66">
        <f t="shared" si="24"/>
        <v>0</v>
      </c>
      <c r="BT52" s="66">
        <f t="shared" si="25"/>
        <v>0</v>
      </c>
    </row>
    <row r="53" spans="1:72" ht="18" customHeight="1" outlineLevel="1" x14ac:dyDescent="0.35">
      <c r="A53" s="27"/>
      <c r="B53" s="27"/>
      <c r="C53" s="63" t="str">
        <f t="shared" si="18"/>
        <v># de clientes Conteudo/ Paywall 2</v>
      </c>
      <c r="D53" s="27"/>
      <c r="E53" s="27"/>
      <c r="F53" s="68">
        <f>'1.Premissas Receitas'!C49</f>
        <v>1</v>
      </c>
      <c r="G53" s="66">
        <f t="shared" ref="G53:AL53" si="44">$F$53*G19</f>
        <v>0</v>
      </c>
      <c r="H53" s="66">
        <f t="shared" si="44"/>
        <v>0</v>
      </c>
      <c r="I53" s="66">
        <f t="shared" si="44"/>
        <v>0</v>
      </c>
      <c r="J53" s="66">
        <f t="shared" si="44"/>
        <v>0</v>
      </c>
      <c r="K53" s="66">
        <f t="shared" si="44"/>
        <v>0</v>
      </c>
      <c r="L53" s="66">
        <f t="shared" si="44"/>
        <v>0</v>
      </c>
      <c r="M53" s="66">
        <f t="shared" si="44"/>
        <v>0</v>
      </c>
      <c r="N53" s="66">
        <f t="shared" si="44"/>
        <v>0</v>
      </c>
      <c r="O53" s="66">
        <f t="shared" si="44"/>
        <v>0</v>
      </c>
      <c r="P53" s="66">
        <f t="shared" si="44"/>
        <v>0</v>
      </c>
      <c r="Q53" s="66">
        <f t="shared" si="44"/>
        <v>0</v>
      </c>
      <c r="R53" s="66">
        <f t="shared" si="44"/>
        <v>0</v>
      </c>
      <c r="S53" s="66">
        <f t="shared" si="44"/>
        <v>0</v>
      </c>
      <c r="T53" s="66">
        <f t="shared" si="44"/>
        <v>0</v>
      </c>
      <c r="U53" s="66">
        <f t="shared" si="44"/>
        <v>0</v>
      </c>
      <c r="V53" s="66">
        <f t="shared" si="44"/>
        <v>0</v>
      </c>
      <c r="W53" s="66">
        <f t="shared" si="44"/>
        <v>0</v>
      </c>
      <c r="X53" s="66">
        <f t="shared" si="44"/>
        <v>0</v>
      </c>
      <c r="Y53" s="66">
        <f t="shared" si="44"/>
        <v>0</v>
      </c>
      <c r="Z53" s="66">
        <f t="shared" si="44"/>
        <v>0</v>
      </c>
      <c r="AA53" s="66">
        <f t="shared" si="44"/>
        <v>0</v>
      </c>
      <c r="AB53" s="66">
        <f t="shared" si="44"/>
        <v>0</v>
      </c>
      <c r="AC53" s="66">
        <f t="shared" si="44"/>
        <v>0</v>
      </c>
      <c r="AD53" s="66">
        <f t="shared" si="44"/>
        <v>0</v>
      </c>
      <c r="AE53" s="66">
        <f t="shared" si="44"/>
        <v>0</v>
      </c>
      <c r="AF53" s="66">
        <f t="shared" si="44"/>
        <v>0</v>
      </c>
      <c r="AG53" s="66">
        <f t="shared" si="44"/>
        <v>0</v>
      </c>
      <c r="AH53" s="66">
        <f t="shared" si="44"/>
        <v>0</v>
      </c>
      <c r="AI53" s="66">
        <f t="shared" si="44"/>
        <v>0</v>
      </c>
      <c r="AJ53" s="66">
        <f t="shared" si="44"/>
        <v>0</v>
      </c>
      <c r="AK53" s="66">
        <f t="shared" si="44"/>
        <v>0</v>
      </c>
      <c r="AL53" s="66">
        <f t="shared" si="44"/>
        <v>0</v>
      </c>
      <c r="AM53" s="66">
        <f t="shared" ref="AM53:BN53" si="45">$F$53*AM19</f>
        <v>0</v>
      </c>
      <c r="AN53" s="66">
        <f t="shared" si="45"/>
        <v>0</v>
      </c>
      <c r="AO53" s="66">
        <f t="shared" si="45"/>
        <v>0</v>
      </c>
      <c r="AP53" s="66">
        <f t="shared" si="45"/>
        <v>0</v>
      </c>
      <c r="AQ53" s="66">
        <f t="shared" si="45"/>
        <v>0</v>
      </c>
      <c r="AR53" s="66">
        <f t="shared" si="45"/>
        <v>0</v>
      </c>
      <c r="AS53" s="66">
        <f t="shared" si="45"/>
        <v>0</v>
      </c>
      <c r="AT53" s="66">
        <f t="shared" si="45"/>
        <v>0</v>
      </c>
      <c r="AU53" s="66">
        <f t="shared" si="45"/>
        <v>0</v>
      </c>
      <c r="AV53" s="66">
        <f t="shared" si="45"/>
        <v>0</v>
      </c>
      <c r="AW53" s="66">
        <f t="shared" si="45"/>
        <v>0</v>
      </c>
      <c r="AX53" s="66">
        <f t="shared" si="45"/>
        <v>0</v>
      </c>
      <c r="AY53" s="66">
        <f t="shared" si="45"/>
        <v>0</v>
      </c>
      <c r="AZ53" s="66">
        <f t="shared" si="45"/>
        <v>0</v>
      </c>
      <c r="BA53" s="66">
        <f t="shared" si="45"/>
        <v>0</v>
      </c>
      <c r="BB53" s="66">
        <f t="shared" si="45"/>
        <v>0</v>
      </c>
      <c r="BC53" s="66">
        <f t="shared" si="45"/>
        <v>0</v>
      </c>
      <c r="BD53" s="66">
        <f t="shared" si="45"/>
        <v>0</v>
      </c>
      <c r="BE53" s="66">
        <f t="shared" si="45"/>
        <v>0</v>
      </c>
      <c r="BF53" s="66">
        <f t="shared" si="45"/>
        <v>0</v>
      </c>
      <c r="BG53" s="66">
        <f t="shared" si="45"/>
        <v>0</v>
      </c>
      <c r="BH53" s="66">
        <f t="shared" si="45"/>
        <v>0</v>
      </c>
      <c r="BI53" s="66">
        <f t="shared" si="45"/>
        <v>0</v>
      </c>
      <c r="BJ53" s="66">
        <f t="shared" si="45"/>
        <v>0</v>
      </c>
      <c r="BK53" s="66">
        <f t="shared" si="45"/>
        <v>0</v>
      </c>
      <c r="BL53" s="66">
        <f t="shared" si="45"/>
        <v>0</v>
      </c>
      <c r="BM53" s="66">
        <f t="shared" si="45"/>
        <v>0</v>
      </c>
      <c r="BN53" s="66">
        <f t="shared" si="45"/>
        <v>0</v>
      </c>
      <c r="BO53" s="20"/>
      <c r="BP53" s="66">
        <f t="shared" si="21"/>
        <v>0</v>
      </c>
      <c r="BQ53" s="66">
        <f t="shared" si="22"/>
        <v>0</v>
      </c>
      <c r="BR53" s="66">
        <f t="shared" si="23"/>
        <v>0</v>
      </c>
      <c r="BS53" s="66">
        <f t="shared" si="24"/>
        <v>0</v>
      </c>
      <c r="BT53" s="66">
        <f t="shared" si="25"/>
        <v>0</v>
      </c>
    </row>
    <row r="54" spans="1:72" ht="18" customHeight="1" outlineLevel="1" x14ac:dyDescent="0.35">
      <c r="A54" s="27"/>
      <c r="B54" s="27"/>
      <c r="C54" s="63" t="str">
        <f t="shared" si="18"/>
        <v># de clientes Conteudo/ Paywall 3</v>
      </c>
      <c r="D54" s="27"/>
      <c r="E54" s="27"/>
      <c r="F54" s="68">
        <f>'1.Premissas Receitas'!C50</f>
        <v>1</v>
      </c>
      <c r="G54" s="66">
        <f t="shared" ref="G54:G60" si="46">$F$52*G20</f>
        <v>0</v>
      </c>
      <c r="H54" s="66">
        <f>$F$51*H21</f>
        <v>0</v>
      </c>
      <c r="I54" s="66">
        <f t="shared" ref="I54:AN54" si="47">$F$52*I20</f>
        <v>0</v>
      </c>
      <c r="J54" s="66">
        <f t="shared" si="47"/>
        <v>0</v>
      </c>
      <c r="K54" s="66">
        <f t="shared" si="47"/>
        <v>0</v>
      </c>
      <c r="L54" s="66">
        <f t="shared" si="47"/>
        <v>0</v>
      </c>
      <c r="M54" s="66">
        <f t="shared" si="47"/>
        <v>0</v>
      </c>
      <c r="N54" s="66">
        <f t="shared" si="47"/>
        <v>0</v>
      </c>
      <c r="O54" s="66">
        <f t="shared" si="47"/>
        <v>0</v>
      </c>
      <c r="P54" s="66">
        <f t="shared" si="47"/>
        <v>0</v>
      </c>
      <c r="Q54" s="66">
        <f t="shared" si="47"/>
        <v>0</v>
      </c>
      <c r="R54" s="66">
        <f t="shared" si="47"/>
        <v>0</v>
      </c>
      <c r="S54" s="66">
        <f t="shared" si="47"/>
        <v>0</v>
      </c>
      <c r="T54" s="66">
        <f t="shared" si="47"/>
        <v>0</v>
      </c>
      <c r="U54" s="66">
        <f t="shared" si="47"/>
        <v>0</v>
      </c>
      <c r="V54" s="66">
        <f t="shared" si="47"/>
        <v>0</v>
      </c>
      <c r="W54" s="66">
        <f t="shared" si="47"/>
        <v>0</v>
      </c>
      <c r="X54" s="66">
        <f t="shared" si="47"/>
        <v>0</v>
      </c>
      <c r="Y54" s="66">
        <f t="shared" si="47"/>
        <v>0</v>
      </c>
      <c r="Z54" s="66">
        <f t="shared" si="47"/>
        <v>0</v>
      </c>
      <c r="AA54" s="66">
        <f t="shared" si="47"/>
        <v>0</v>
      </c>
      <c r="AB54" s="66">
        <f t="shared" si="47"/>
        <v>0</v>
      </c>
      <c r="AC54" s="66">
        <f t="shared" si="47"/>
        <v>0</v>
      </c>
      <c r="AD54" s="66">
        <f t="shared" si="47"/>
        <v>0</v>
      </c>
      <c r="AE54" s="66">
        <f t="shared" si="47"/>
        <v>0</v>
      </c>
      <c r="AF54" s="66">
        <f t="shared" si="47"/>
        <v>0</v>
      </c>
      <c r="AG54" s="66">
        <f t="shared" si="47"/>
        <v>0</v>
      </c>
      <c r="AH54" s="66">
        <f t="shared" si="47"/>
        <v>0</v>
      </c>
      <c r="AI54" s="66">
        <f t="shared" si="47"/>
        <v>0</v>
      </c>
      <c r="AJ54" s="66">
        <f t="shared" si="47"/>
        <v>0</v>
      </c>
      <c r="AK54" s="66">
        <f t="shared" si="47"/>
        <v>0</v>
      </c>
      <c r="AL54" s="66">
        <f t="shared" si="47"/>
        <v>0</v>
      </c>
      <c r="AM54" s="66">
        <f t="shared" si="47"/>
        <v>0</v>
      </c>
      <c r="AN54" s="66">
        <f t="shared" si="47"/>
        <v>0</v>
      </c>
      <c r="AO54" s="66">
        <f t="shared" ref="AO54:BN54" si="48">$F$52*AO20</f>
        <v>0</v>
      </c>
      <c r="AP54" s="66">
        <f t="shared" si="48"/>
        <v>0</v>
      </c>
      <c r="AQ54" s="66">
        <f t="shared" si="48"/>
        <v>0</v>
      </c>
      <c r="AR54" s="66">
        <f t="shared" si="48"/>
        <v>0</v>
      </c>
      <c r="AS54" s="66">
        <f t="shared" si="48"/>
        <v>0</v>
      </c>
      <c r="AT54" s="66">
        <f t="shared" si="48"/>
        <v>0</v>
      </c>
      <c r="AU54" s="66">
        <f t="shared" si="48"/>
        <v>0</v>
      </c>
      <c r="AV54" s="66">
        <f t="shared" si="48"/>
        <v>0</v>
      </c>
      <c r="AW54" s="66">
        <f t="shared" si="48"/>
        <v>0</v>
      </c>
      <c r="AX54" s="66">
        <f t="shared" si="48"/>
        <v>0</v>
      </c>
      <c r="AY54" s="66">
        <f t="shared" si="48"/>
        <v>0</v>
      </c>
      <c r="AZ54" s="66">
        <f t="shared" si="48"/>
        <v>0</v>
      </c>
      <c r="BA54" s="66">
        <f t="shared" si="48"/>
        <v>0</v>
      </c>
      <c r="BB54" s="66">
        <f t="shared" si="48"/>
        <v>0</v>
      </c>
      <c r="BC54" s="66">
        <f t="shared" si="48"/>
        <v>0</v>
      </c>
      <c r="BD54" s="66">
        <f t="shared" si="48"/>
        <v>0</v>
      </c>
      <c r="BE54" s="66">
        <f t="shared" si="48"/>
        <v>0</v>
      </c>
      <c r="BF54" s="66">
        <f t="shared" si="48"/>
        <v>0</v>
      </c>
      <c r="BG54" s="66">
        <f t="shared" si="48"/>
        <v>0</v>
      </c>
      <c r="BH54" s="66">
        <f t="shared" si="48"/>
        <v>0</v>
      </c>
      <c r="BI54" s="66">
        <f t="shared" si="48"/>
        <v>0</v>
      </c>
      <c r="BJ54" s="66">
        <f t="shared" si="48"/>
        <v>0</v>
      </c>
      <c r="BK54" s="66">
        <f t="shared" si="48"/>
        <v>0</v>
      </c>
      <c r="BL54" s="66">
        <f t="shared" si="48"/>
        <v>0</v>
      </c>
      <c r="BM54" s="66">
        <f t="shared" si="48"/>
        <v>0</v>
      </c>
      <c r="BN54" s="66">
        <f t="shared" si="48"/>
        <v>0</v>
      </c>
      <c r="BO54" s="20"/>
      <c r="BP54" s="66">
        <f t="shared" si="21"/>
        <v>0</v>
      </c>
      <c r="BQ54" s="66">
        <f t="shared" si="22"/>
        <v>0</v>
      </c>
      <c r="BR54" s="66">
        <f t="shared" si="23"/>
        <v>0</v>
      </c>
      <c r="BS54" s="66">
        <f t="shared" si="24"/>
        <v>0</v>
      </c>
      <c r="BT54" s="66">
        <f t="shared" si="25"/>
        <v>0</v>
      </c>
    </row>
    <row r="55" spans="1:72" ht="18" customHeight="1" outlineLevel="1" x14ac:dyDescent="0.35">
      <c r="A55" s="27"/>
      <c r="B55" s="27"/>
      <c r="C55" s="63" t="str">
        <f t="shared" si="18"/>
        <v># de clientes publicidade Produto/Serviço 1</v>
      </c>
      <c r="D55" s="27"/>
      <c r="E55" s="27"/>
      <c r="F55" s="68">
        <f>'1.Premissas Receitas'!C56</f>
        <v>1</v>
      </c>
      <c r="G55" s="66">
        <f t="shared" si="46"/>
        <v>0</v>
      </c>
      <c r="H55" s="66">
        <f>$F$51*H22</f>
        <v>0</v>
      </c>
      <c r="I55" s="66">
        <f t="shared" ref="I55:AN55" si="49">$F$52*I21</f>
        <v>0</v>
      </c>
      <c r="J55" s="66">
        <f t="shared" si="49"/>
        <v>0</v>
      </c>
      <c r="K55" s="66">
        <f t="shared" si="49"/>
        <v>0</v>
      </c>
      <c r="L55" s="66">
        <f t="shared" si="49"/>
        <v>0</v>
      </c>
      <c r="M55" s="66">
        <f t="shared" si="49"/>
        <v>0</v>
      </c>
      <c r="N55" s="66">
        <f t="shared" si="49"/>
        <v>0</v>
      </c>
      <c r="O55" s="66">
        <f t="shared" si="49"/>
        <v>0</v>
      </c>
      <c r="P55" s="66">
        <f t="shared" si="49"/>
        <v>0</v>
      </c>
      <c r="Q55" s="66">
        <f t="shared" si="49"/>
        <v>0</v>
      </c>
      <c r="R55" s="66">
        <f t="shared" si="49"/>
        <v>0</v>
      </c>
      <c r="S55" s="66">
        <f t="shared" si="49"/>
        <v>0</v>
      </c>
      <c r="T55" s="66">
        <f t="shared" si="49"/>
        <v>0</v>
      </c>
      <c r="U55" s="66">
        <f t="shared" si="49"/>
        <v>0</v>
      </c>
      <c r="V55" s="66">
        <f t="shared" si="49"/>
        <v>0</v>
      </c>
      <c r="W55" s="66">
        <f t="shared" si="49"/>
        <v>0</v>
      </c>
      <c r="X55" s="66">
        <f t="shared" si="49"/>
        <v>0</v>
      </c>
      <c r="Y55" s="66">
        <f t="shared" si="49"/>
        <v>0</v>
      </c>
      <c r="Z55" s="66">
        <f t="shared" si="49"/>
        <v>0</v>
      </c>
      <c r="AA55" s="66">
        <f t="shared" si="49"/>
        <v>0</v>
      </c>
      <c r="AB55" s="66">
        <f t="shared" si="49"/>
        <v>0</v>
      </c>
      <c r="AC55" s="66">
        <f t="shared" si="49"/>
        <v>0</v>
      </c>
      <c r="AD55" s="66">
        <f t="shared" si="49"/>
        <v>0</v>
      </c>
      <c r="AE55" s="66">
        <f t="shared" si="49"/>
        <v>0</v>
      </c>
      <c r="AF55" s="66">
        <f t="shared" si="49"/>
        <v>0</v>
      </c>
      <c r="AG55" s="66">
        <f t="shared" si="49"/>
        <v>0</v>
      </c>
      <c r="AH55" s="66">
        <f t="shared" si="49"/>
        <v>0</v>
      </c>
      <c r="AI55" s="66">
        <f t="shared" si="49"/>
        <v>0</v>
      </c>
      <c r="AJ55" s="66">
        <f t="shared" si="49"/>
        <v>0</v>
      </c>
      <c r="AK55" s="66">
        <f t="shared" si="49"/>
        <v>0</v>
      </c>
      <c r="AL55" s="66">
        <f t="shared" si="49"/>
        <v>0</v>
      </c>
      <c r="AM55" s="66">
        <f t="shared" si="49"/>
        <v>0</v>
      </c>
      <c r="AN55" s="66">
        <f t="shared" si="49"/>
        <v>0</v>
      </c>
      <c r="AO55" s="66">
        <f t="shared" ref="AO55:BN55" si="50">$F$52*AO21</f>
        <v>0</v>
      </c>
      <c r="AP55" s="66">
        <f t="shared" si="50"/>
        <v>0</v>
      </c>
      <c r="AQ55" s="66">
        <f t="shared" si="50"/>
        <v>0</v>
      </c>
      <c r="AR55" s="66">
        <f t="shared" si="50"/>
        <v>0</v>
      </c>
      <c r="AS55" s="66">
        <f t="shared" si="50"/>
        <v>0</v>
      </c>
      <c r="AT55" s="66">
        <f t="shared" si="50"/>
        <v>0</v>
      </c>
      <c r="AU55" s="66">
        <f t="shared" si="50"/>
        <v>0</v>
      </c>
      <c r="AV55" s="66">
        <f t="shared" si="50"/>
        <v>0</v>
      </c>
      <c r="AW55" s="66">
        <f t="shared" si="50"/>
        <v>0</v>
      </c>
      <c r="AX55" s="66">
        <f t="shared" si="50"/>
        <v>0</v>
      </c>
      <c r="AY55" s="66">
        <f t="shared" si="50"/>
        <v>0</v>
      </c>
      <c r="AZ55" s="66">
        <f t="shared" si="50"/>
        <v>0</v>
      </c>
      <c r="BA55" s="66">
        <f t="shared" si="50"/>
        <v>0</v>
      </c>
      <c r="BB55" s="66">
        <f t="shared" si="50"/>
        <v>0</v>
      </c>
      <c r="BC55" s="66">
        <f t="shared" si="50"/>
        <v>0</v>
      </c>
      <c r="BD55" s="66">
        <f t="shared" si="50"/>
        <v>0</v>
      </c>
      <c r="BE55" s="66">
        <f t="shared" si="50"/>
        <v>0</v>
      </c>
      <c r="BF55" s="66">
        <f t="shared" si="50"/>
        <v>0</v>
      </c>
      <c r="BG55" s="66">
        <f t="shared" si="50"/>
        <v>0</v>
      </c>
      <c r="BH55" s="66">
        <f t="shared" si="50"/>
        <v>0</v>
      </c>
      <c r="BI55" s="66">
        <f t="shared" si="50"/>
        <v>0</v>
      </c>
      <c r="BJ55" s="66">
        <f t="shared" si="50"/>
        <v>0</v>
      </c>
      <c r="BK55" s="66">
        <f t="shared" si="50"/>
        <v>0</v>
      </c>
      <c r="BL55" s="66">
        <f t="shared" si="50"/>
        <v>0</v>
      </c>
      <c r="BM55" s="66">
        <f t="shared" si="50"/>
        <v>0</v>
      </c>
      <c r="BN55" s="66">
        <f t="shared" si="50"/>
        <v>0</v>
      </c>
      <c r="BO55" s="20"/>
      <c r="BP55" s="66">
        <f t="shared" si="21"/>
        <v>0</v>
      </c>
      <c r="BQ55" s="66">
        <f t="shared" si="22"/>
        <v>0</v>
      </c>
      <c r="BR55" s="66">
        <f t="shared" si="23"/>
        <v>0</v>
      </c>
      <c r="BS55" s="66">
        <f t="shared" si="24"/>
        <v>0</v>
      </c>
      <c r="BT55" s="66">
        <f t="shared" si="25"/>
        <v>0</v>
      </c>
    </row>
    <row r="56" spans="1:72" ht="18" customHeight="1" outlineLevel="1" x14ac:dyDescent="0.35">
      <c r="A56" s="27"/>
      <c r="B56" s="27"/>
      <c r="C56" s="63" t="str">
        <f t="shared" si="18"/>
        <v># de clientes publicidade Produto/Serviço 2</v>
      </c>
      <c r="D56" s="27"/>
      <c r="E56" s="27"/>
      <c r="F56" s="68">
        <f>'1.Premissas Receitas'!C57</f>
        <v>1</v>
      </c>
      <c r="G56" s="66">
        <f t="shared" si="46"/>
        <v>0</v>
      </c>
      <c r="H56" s="66">
        <f>$F$51*H23</f>
        <v>0</v>
      </c>
      <c r="I56" s="66">
        <f t="shared" ref="I56:AN56" si="51">$F$52*I22</f>
        <v>0</v>
      </c>
      <c r="J56" s="66">
        <f t="shared" si="51"/>
        <v>0</v>
      </c>
      <c r="K56" s="66">
        <f t="shared" si="51"/>
        <v>0</v>
      </c>
      <c r="L56" s="66">
        <f t="shared" si="51"/>
        <v>0</v>
      </c>
      <c r="M56" s="66">
        <f t="shared" si="51"/>
        <v>0</v>
      </c>
      <c r="N56" s="66">
        <f t="shared" si="51"/>
        <v>0</v>
      </c>
      <c r="O56" s="66">
        <f t="shared" si="51"/>
        <v>0</v>
      </c>
      <c r="P56" s="66">
        <f t="shared" si="51"/>
        <v>0</v>
      </c>
      <c r="Q56" s="66">
        <f t="shared" si="51"/>
        <v>0</v>
      </c>
      <c r="R56" s="66">
        <f t="shared" si="51"/>
        <v>0</v>
      </c>
      <c r="S56" s="66">
        <f t="shared" si="51"/>
        <v>0</v>
      </c>
      <c r="T56" s="66">
        <f t="shared" si="51"/>
        <v>0</v>
      </c>
      <c r="U56" s="66">
        <f t="shared" si="51"/>
        <v>0</v>
      </c>
      <c r="V56" s="66">
        <f t="shared" si="51"/>
        <v>0</v>
      </c>
      <c r="W56" s="66">
        <f t="shared" si="51"/>
        <v>0</v>
      </c>
      <c r="X56" s="66">
        <f t="shared" si="51"/>
        <v>0</v>
      </c>
      <c r="Y56" s="66">
        <f t="shared" si="51"/>
        <v>0</v>
      </c>
      <c r="Z56" s="66">
        <f t="shared" si="51"/>
        <v>0</v>
      </c>
      <c r="AA56" s="66">
        <f t="shared" si="51"/>
        <v>0</v>
      </c>
      <c r="AB56" s="66">
        <f t="shared" si="51"/>
        <v>0</v>
      </c>
      <c r="AC56" s="66">
        <f t="shared" si="51"/>
        <v>0</v>
      </c>
      <c r="AD56" s="66">
        <f t="shared" si="51"/>
        <v>0</v>
      </c>
      <c r="AE56" s="66">
        <f t="shared" si="51"/>
        <v>0</v>
      </c>
      <c r="AF56" s="66">
        <f t="shared" si="51"/>
        <v>0</v>
      </c>
      <c r="AG56" s="66">
        <f t="shared" si="51"/>
        <v>0</v>
      </c>
      <c r="AH56" s="66">
        <f t="shared" si="51"/>
        <v>0</v>
      </c>
      <c r="AI56" s="66">
        <f t="shared" si="51"/>
        <v>0</v>
      </c>
      <c r="AJ56" s="66">
        <f t="shared" si="51"/>
        <v>0</v>
      </c>
      <c r="AK56" s="66">
        <f t="shared" si="51"/>
        <v>0</v>
      </c>
      <c r="AL56" s="66">
        <f t="shared" si="51"/>
        <v>0</v>
      </c>
      <c r="AM56" s="66">
        <f t="shared" si="51"/>
        <v>0</v>
      </c>
      <c r="AN56" s="66">
        <f t="shared" si="51"/>
        <v>0</v>
      </c>
      <c r="AO56" s="66">
        <f t="shared" ref="AO56:BN56" si="52">$F$52*AO22</f>
        <v>0</v>
      </c>
      <c r="AP56" s="66">
        <f t="shared" si="52"/>
        <v>0</v>
      </c>
      <c r="AQ56" s="66">
        <f t="shared" si="52"/>
        <v>0</v>
      </c>
      <c r="AR56" s="66">
        <f t="shared" si="52"/>
        <v>0</v>
      </c>
      <c r="AS56" s="66">
        <f t="shared" si="52"/>
        <v>0</v>
      </c>
      <c r="AT56" s="66">
        <f t="shared" si="52"/>
        <v>0</v>
      </c>
      <c r="AU56" s="66">
        <f t="shared" si="52"/>
        <v>0</v>
      </c>
      <c r="AV56" s="66">
        <f t="shared" si="52"/>
        <v>0</v>
      </c>
      <c r="AW56" s="66">
        <f t="shared" si="52"/>
        <v>0</v>
      </c>
      <c r="AX56" s="66">
        <f t="shared" si="52"/>
        <v>0</v>
      </c>
      <c r="AY56" s="66">
        <f t="shared" si="52"/>
        <v>0</v>
      </c>
      <c r="AZ56" s="66">
        <f t="shared" si="52"/>
        <v>0</v>
      </c>
      <c r="BA56" s="66">
        <f t="shared" si="52"/>
        <v>0</v>
      </c>
      <c r="BB56" s="66">
        <f t="shared" si="52"/>
        <v>0</v>
      </c>
      <c r="BC56" s="66">
        <f t="shared" si="52"/>
        <v>0</v>
      </c>
      <c r="BD56" s="66">
        <f t="shared" si="52"/>
        <v>0</v>
      </c>
      <c r="BE56" s="66">
        <f t="shared" si="52"/>
        <v>0</v>
      </c>
      <c r="BF56" s="66">
        <f t="shared" si="52"/>
        <v>0</v>
      </c>
      <c r="BG56" s="66">
        <f t="shared" si="52"/>
        <v>0</v>
      </c>
      <c r="BH56" s="66">
        <f t="shared" si="52"/>
        <v>0</v>
      </c>
      <c r="BI56" s="66">
        <f t="shared" si="52"/>
        <v>0</v>
      </c>
      <c r="BJ56" s="66">
        <f t="shared" si="52"/>
        <v>0</v>
      </c>
      <c r="BK56" s="66">
        <f t="shared" si="52"/>
        <v>0</v>
      </c>
      <c r="BL56" s="66">
        <f t="shared" si="52"/>
        <v>0</v>
      </c>
      <c r="BM56" s="66">
        <f t="shared" si="52"/>
        <v>0</v>
      </c>
      <c r="BN56" s="66">
        <f t="shared" si="52"/>
        <v>0</v>
      </c>
      <c r="BO56" s="20"/>
      <c r="BP56" s="66">
        <f t="shared" si="21"/>
        <v>0</v>
      </c>
      <c r="BQ56" s="66">
        <f t="shared" si="22"/>
        <v>0</v>
      </c>
      <c r="BR56" s="66">
        <f t="shared" si="23"/>
        <v>0</v>
      </c>
      <c r="BS56" s="66">
        <f t="shared" si="24"/>
        <v>0</v>
      </c>
      <c r="BT56" s="66">
        <f t="shared" si="25"/>
        <v>0</v>
      </c>
    </row>
    <row r="57" spans="1:72" ht="18" customHeight="1" outlineLevel="1" x14ac:dyDescent="0.35">
      <c r="A57" s="27"/>
      <c r="B57" s="27"/>
      <c r="C57" s="63" t="str">
        <f t="shared" si="18"/>
        <v># de clientes publicidade Produto/Serviço 3</v>
      </c>
      <c r="D57" s="27"/>
      <c r="E57" s="27"/>
      <c r="F57" s="68">
        <f>'1.Premissas Receitas'!C58</f>
        <v>1</v>
      </c>
      <c r="G57" s="66">
        <f t="shared" si="46"/>
        <v>0</v>
      </c>
      <c r="H57" s="66">
        <f>$F$51*H24</f>
        <v>0</v>
      </c>
      <c r="I57" s="66">
        <f t="shared" ref="I57:AN57" si="53">$F$52*I23</f>
        <v>0</v>
      </c>
      <c r="J57" s="66">
        <f t="shared" si="53"/>
        <v>0</v>
      </c>
      <c r="K57" s="66">
        <f t="shared" si="53"/>
        <v>0</v>
      </c>
      <c r="L57" s="66">
        <f t="shared" si="53"/>
        <v>0</v>
      </c>
      <c r="M57" s="66">
        <f t="shared" si="53"/>
        <v>0</v>
      </c>
      <c r="N57" s="66">
        <f t="shared" si="53"/>
        <v>0</v>
      </c>
      <c r="O57" s="66">
        <f t="shared" si="53"/>
        <v>0</v>
      </c>
      <c r="P57" s="66">
        <f t="shared" si="53"/>
        <v>0</v>
      </c>
      <c r="Q57" s="66">
        <f t="shared" si="53"/>
        <v>0</v>
      </c>
      <c r="R57" s="66">
        <f t="shared" si="53"/>
        <v>0</v>
      </c>
      <c r="S57" s="66">
        <f t="shared" si="53"/>
        <v>0</v>
      </c>
      <c r="T57" s="66">
        <f t="shared" si="53"/>
        <v>0</v>
      </c>
      <c r="U57" s="66">
        <f t="shared" si="53"/>
        <v>0</v>
      </c>
      <c r="V57" s="66">
        <f t="shared" si="53"/>
        <v>0</v>
      </c>
      <c r="W57" s="66">
        <f t="shared" si="53"/>
        <v>0</v>
      </c>
      <c r="X57" s="66">
        <f t="shared" si="53"/>
        <v>0</v>
      </c>
      <c r="Y57" s="66">
        <f t="shared" si="53"/>
        <v>0</v>
      </c>
      <c r="Z57" s="66">
        <f t="shared" si="53"/>
        <v>0</v>
      </c>
      <c r="AA57" s="66">
        <f t="shared" si="53"/>
        <v>0</v>
      </c>
      <c r="AB57" s="66">
        <f t="shared" si="53"/>
        <v>0</v>
      </c>
      <c r="AC57" s="66">
        <f t="shared" si="53"/>
        <v>0</v>
      </c>
      <c r="AD57" s="66">
        <f t="shared" si="53"/>
        <v>0</v>
      </c>
      <c r="AE57" s="66">
        <f t="shared" si="53"/>
        <v>0</v>
      </c>
      <c r="AF57" s="66">
        <f t="shared" si="53"/>
        <v>0</v>
      </c>
      <c r="AG57" s="66">
        <f t="shared" si="53"/>
        <v>0</v>
      </c>
      <c r="AH57" s="66">
        <f t="shared" si="53"/>
        <v>0</v>
      </c>
      <c r="AI57" s="66">
        <f t="shared" si="53"/>
        <v>0</v>
      </c>
      <c r="AJ57" s="66">
        <f t="shared" si="53"/>
        <v>0</v>
      </c>
      <c r="AK57" s="66">
        <f t="shared" si="53"/>
        <v>0</v>
      </c>
      <c r="AL57" s="66">
        <f t="shared" si="53"/>
        <v>0</v>
      </c>
      <c r="AM57" s="66">
        <f t="shared" si="53"/>
        <v>0</v>
      </c>
      <c r="AN57" s="66">
        <f t="shared" si="53"/>
        <v>0</v>
      </c>
      <c r="AO57" s="66">
        <f t="shared" ref="AO57:BN57" si="54">$F$52*AO23</f>
        <v>0</v>
      </c>
      <c r="AP57" s="66">
        <f t="shared" si="54"/>
        <v>0</v>
      </c>
      <c r="AQ57" s="66">
        <f t="shared" si="54"/>
        <v>0</v>
      </c>
      <c r="AR57" s="66">
        <f t="shared" si="54"/>
        <v>0</v>
      </c>
      <c r="AS57" s="66">
        <f t="shared" si="54"/>
        <v>0</v>
      </c>
      <c r="AT57" s="66">
        <f t="shared" si="54"/>
        <v>0</v>
      </c>
      <c r="AU57" s="66">
        <f t="shared" si="54"/>
        <v>0</v>
      </c>
      <c r="AV57" s="66">
        <f t="shared" si="54"/>
        <v>0</v>
      </c>
      <c r="AW57" s="66">
        <f t="shared" si="54"/>
        <v>0</v>
      </c>
      <c r="AX57" s="66">
        <f t="shared" si="54"/>
        <v>0</v>
      </c>
      <c r="AY57" s="66">
        <f t="shared" si="54"/>
        <v>0</v>
      </c>
      <c r="AZ57" s="66">
        <f t="shared" si="54"/>
        <v>0</v>
      </c>
      <c r="BA57" s="66">
        <f t="shared" si="54"/>
        <v>0</v>
      </c>
      <c r="BB57" s="66">
        <f t="shared" si="54"/>
        <v>0</v>
      </c>
      <c r="BC57" s="66">
        <f t="shared" si="54"/>
        <v>0</v>
      </c>
      <c r="BD57" s="66">
        <f t="shared" si="54"/>
        <v>0</v>
      </c>
      <c r="BE57" s="66">
        <f t="shared" si="54"/>
        <v>0</v>
      </c>
      <c r="BF57" s="66">
        <f t="shared" si="54"/>
        <v>0</v>
      </c>
      <c r="BG57" s="66">
        <f t="shared" si="54"/>
        <v>0</v>
      </c>
      <c r="BH57" s="66">
        <f t="shared" si="54"/>
        <v>0</v>
      </c>
      <c r="BI57" s="66">
        <f t="shared" si="54"/>
        <v>0</v>
      </c>
      <c r="BJ57" s="66">
        <f t="shared" si="54"/>
        <v>0</v>
      </c>
      <c r="BK57" s="66">
        <f t="shared" si="54"/>
        <v>0</v>
      </c>
      <c r="BL57" s="66">
        <f t="shared" si="54"/>
        <v>0</v>
      </c>
      <c r="BM57" s="66">
        <f t="shared" si="54"/>
        <v>0</v>
      </c>
      <c r="BN57" s="66">
        <f t="shared" si="54"/>
        <v>0</v>
      </c>
      <c r="BO57" s="20"/>
      <c r="BP57" s="66">
        <f t="shared" si="21"/>
        <v>0</v>
      </c>
      <c r="BQ57" s="66">
        <f t="shared" si="22"/>
        <v>0</v>
      </c>
      <c r="BR57" s="66">
        <f t="shared" si="23"/>
        <v>0</v>
      </c>
      <c r="BS57" s="66">
        <f t="shared" si="24"/>
        <v>0</v>
      </c>
      <c r="BT57" s="66">
        <f t="shared" si="25"/>
        <v>0</v>
      </c>
    </row>
    <row r="58" spans="1:72" ht="18" customHeight="1" outlineLevel="1" x14ac:dyDescent="0.35">
      <c r="A58" s="27"/>
      <c r="B58" s="27"/>
      <c r="C58" s="63" t="str">
        <f t="shared" si="18"/>
        <v># Pay-per-use Produto/Serviço 1</v>
      </c>
      <c r="D58" s="27"/>
      <c r="E58" s="27"/>
      <c r="F58" s="68">
        <f>'1.Premissas Receitas'!C63</f>
        <v>1</v>
      </c>
      <c r="G58" s="66">
        <f t="shared" si="46"/>
        <v>0</v>
      </c>
      <c r="H58" s="66">
        <f>$F$58*H21</f>
        <v>0</v>
      </c>
      <c r="I58" s="66">
        <f t="shared" ref="I58:AN58" si="55">$F$52*I24</f>
        <v>0</v>
      </c>
      <c r="J58" s="66">
        <f t="shared" si="55"/>
        <v>0</v>
      </c>
      <c r="K58" s="66">
        <f t="shared" si="55"/>
        <v>0</v>
      </c>
      <c r="L58" s="66">
        <f t="shared" si="55"/>
        <v>0</v>
      </c>
      <c r="M58" s="66">
        <f t="shared" si="55"/>
        <v>0</v>
      </c>
      <c r="N58" s="66">
        <f t="shared" si="55"/>
        <v>0</v>
      </c>
      <c r="O58" s="66">
        <f t="shared" si="55"/>
        <v>0</v>
      </c>
      <c r="P58" s="66">
        <f t="shared" si="55"/>
        <v>0</v>
      </c>
      <c r="Q58" s="66">
        <f t="shared" si="55"/>
        <v>0</v>
      </c>
      <c r="R58" s="66">
        <f t="shared" si="55"/>
        <v>0</v>
      </c>
      <c r="S58" s="66">
        <f t="shared" si="55"/>
        <v>0</v>
      </c>
      <c r="T58" s="66">
        <f t="shared" si="55"/>
        <v>0</v>
      </c>
      <c r="U58" s="66">
        <f t="shared" si="55"/>
        <v>0</v>
      </c>
      <c r="V58" s="66">
        <f t="shared" si="55"/>
        <v>0</v>
      </c>
      <c r="W58" s="66">
        <f t="shared" si="55"/>
        <v>0</v>
      </c>
      <c r="X58" s="66">
        <f t="shared" si="55"/>
        <v>0</v>
      </c>
      <c r="Y58" s="66">
        <f t="shared" si="55"/>
        <v>0</v>
      </c>
      <c r="Z58" s="66">
        <f t="shared" si="55"/>
        <v>0</v>
      </c>
      <c r="AA58" s="66">
        <f t="shared" si="55"/>
        <v>0</v>
      </c>
      <c r="AB58" s="66">
        <f t="shared" si="55"/>
        <v>0</v>
      </c>
      <c r="AC58" s="66">
        <f t="shared" si="55"/>
        <v>0</v>
      </c>
      <c r="AD58" s="66">
        <f t="shared" si="55"/>
        <v>0</v>
      </c>
      <c r="AE58" s="66">
        <f t="shared" si="55"/>
        <v>0</v>
      </c>
      <c r="AF58" s="66">
        <f t="shared" si="55"/>
        <v>0</v>
      </c>
      <c r="AG58" s="66">
        <f t="shared" si="55"/>
        <v>0</v>
      </c>
      <c r="AH58" s="66">
        <f t="shared" si="55"/>
        <v>0</v>
      </c>
      <c r="AI58" s="66">
        <f t="shared" si="55"/>
        <v>0</v>
      </c>
      <c r="AJ58" s="66">
        <f t="shared" si="55"/>
        <v>0</v>
      </c>
      <c r="AK58" s="66">
        <f t="shared" si="55"/>
        <v>0</v>
      </c>
      <c r="AL58" s="66">
        <f t="shared" si="55"/>
        <v>0</v>
      </c>
      <c r="AM58" s="66">
        <f t="shared" si="55"/>
        <v>0</v>
      </c>
      <c r="AN58" s="66">
        <f t="shared" si="55"/>
        <v>0</v>
      </c>
      <c r="AO58" s="66">
        <f t="shared" ref="AO58:BN58" si="56">$F$52*AO24</f>
        <v>0</v>
      </c>
      <c r="AP58" s="66">
        <f t="shared" si="56"/>
        <v>0</v>
      </c>
      <c r="AQ58" s="66">
        <f t="shared" si="56"/>
        <v>0</v>
      </c>
      <c r="AR58" s="66">
        <f t="shared" si="56"/>
        <v>0</v>
      </c>
      <c r="AS58" s="66">
        <f t="shared" si="56"/>
        <v>0</v>
      </c>
      <c r="AT58" s="66">
        <f t="shared" si="56"/>
        <v>0</v>
      </c>
      <c r="AU58" s="66">
        <f t="shared" si="56"/>
        <v>0</v>
      </c>
      <c r="AV58" s="66">
        <f t="shared" si="56"/>
        <v>0</v>
      </c>
      <c r="AW58" s="66">
        <f t="shared" si="56"/>
        <v>0</v>
      </c>
      <c r="AX58" s="66">
        <f t="shared" si="56"/>
        <v>0</v>
      </c>
      <c r="AY58" s="66">
        <f t="shared" si="56"/>
        <v>0</v>
      </c>
      <c r="AZ58" s="66">
        <f t="shared" si="56"/>
        <v>0</v>
      </c>
      <c r="BA58" s="66">
        <f t="shared" si="56"/>
        <v>0</v>
      </c>
      <c r="BB58" s="66">
        <f t="shared" si="56"/>
        <v>0</v>
      </c>
      <c r="BC58" s="66">
        <f t="shared" si="56"/>
        <v>0</v>
      </c>
      <c r="BD58" s="66">
        <f t="shared" si="56"/>
        <v>0</v>
      </c>
      <c r="BE58" s="66">
        <f t="shared" si="56"/>
        <v>0</v>
      </c>
      <c r="BF58" s="66">
        <f t="shared" si="56"/>
        <v>0</v>
      </c>
      <c r="BG58" s="66">
        <f t="shared" si="56"/>
        <v>0</v>
      </c>
      <c r="BH58" s="66">
        <f t="shared" si="56"/>
        <v>0</v>
      </c>
      <c r="BI58" s="66">
        <f t="shared" si="56"/>
        <v>0</v>
      </c>
      <c r="BJ58" s="66">
        <f t="shared" si="56"/>
        <v>0</v>
      </c>
      <c r="BK58" s="66">
        <f t="shared" si="56"/>
        <v>0</v>
      </c>
      <c r="BL58" s="66">
        <f t="shared" si="56"/>
        <v>0</v>
      </c>
      <c r="BM58" s="66">
        <f t="shared" si="56"/>
        <v>0</v>
      </c>
      <c r="BN58" s="66">
        <f t="shared" si="56"/>
        <v>0</v>
      </c>
      <c r="BO58" s="20"/>
      <c r="BP58" s="66">
        <f t="shared" si="21"/>
        <v>0</v>
      </c>
      <c r="BQ58" s="66">
        <f t="shared" si="22"/>
        <v>0</v>
      </c>
      <c r="BR58" s="66">
        <f t="shared" si="23"/>
        <v>0</v>
      </c>
      <c r="BS58" s="66">
        <f t="shared" si="24"/>
        <v>0</v>
      </c>
      <c r="BT58" s="66">
        <f t="shared" si="25"/>
        <v>0</v>
      </c>
    </row>
    <row r="59" spans="1:72" ht="18" customHeight="1" outlineLevel="1" x14ac:dyDescent="0.35">
      <c r="A59" s="27"/>
      <c r="B59" s="27"/>
      <c r="C59" s="63" t="str">
        <f t="shared" si="18"/>
        <v># Pay-per-use Produto/Serviço 2</v>
      </c>
      <c r="D59" s="27"/>
      <c r="E59" s="27"/>
      <c r="F59" s="68">
        <f>'1.Premissas Receitas'!C64</f>
        <v>1</v>
      </c>
      <c r="G59" s="66">
        <f t="shared" si="46"/>
        <v>0</v>
      </c>
      <c r="H59" s="66">
        <f>$F$59*H22</f>
        <v>0</v>
      </c>
      <c r="I59" s="66">
        <f t="shared" ref="I59:AN59" si="57">$F$52*I25</f>
        <v>0</v>
      </c>
      <c r="J59" s="66">
        <f t="shared" si="57"/>
        <v>0</v>
      </c>
      <c r="K59" s="66">
        <f t="shared" si="57"/>
        <v>0</v>
      </c>
      <c r="L59" s="66">
        <f t="shared" si="57"/>
        <v>0</v>
      </c>
      <c r="M59" s="66">
        <f t="shared" si="57"/>
        <v>0</v>
      </c>
      <c r="N59" s="66">
        <f t="shared" si="57"/>
        <v>0</v>
      </c>
      <c r="O59" s="66">
        <f t="shared" si="57"/>
        <v>0</v>
      </c>
      <c r="P59" s="66">
        <f t="shared" si="57"/>
        <v>0</v>
      </c>
      <c r="Q59" s="66">
        <f t="shared" si="57"/>
        <v>0</v>
      </c>
      <c r="R59" s="66">
        <f t="shared" si="57"/>
        <v>0</v>
      </c>
      <c r="S59" s="66">
        <f t="shared" si="57"/>
        <v>0</v>
      </c>
      <c r="T59" s="66">
        <f t="shared" si="57"/>
        <v>0</v>
      </c>
      <c r="U59" s="66">
        <f t="shared" si="57"/>
        <v>0</v>
      </c>
      <c r="V59" s="66">
        <f t="shared" si="57"/>
        <v>0</v>
      </c>
      <c r="W59" s="66">
        <f t="shared" si="57"/>
        <v>0</v>
      </c>
      <c r="X59" s="66">
        <f t="shared" si="57"/>
        <v>0</v>
      </c>
      <c r="Y59" s="66">
        <f t="shared" si="57"/>
        <v>0</v>
      </c>
      <c r="Z59" s="66">
        <f t="shared" si="57"/>
        <v>0</v>
      </c>
      <c r="AA59" s="66">
        <f t="shared" si="57"/>
        <v>0</v>
      </c>
      <c r="AB59" s="66">
        <f t="shared" si="57"/>
        <v>0</v>
      </c>
      <c r="AC59" s="66">
        <f t="shared" si="57"/>
        <v>0</v>
      </c>
      <c r="AD59" s="66">
        <f t="shared" si="57"/>
        <v>0</v>
      </c>
      <c r="AE59" s="66">
        <f t="shared" si="57"/>
        <v>0</v>
      </c>
      <c r="AF59" s="66">
        <f t="shared" si="57"/>
        <v>0</v>
      </c>
      <c r="AG59" s="66">
        <f t="shared" si="57"/>
        <v>0</v>
      </c>
      <c r="AH59" s="66">
        <f t="shared" si="57"/>
        <v>0</v>
      </c>
      <c r="AI59" s="66">
        <f t="shared" si="57"/>
        <v>0</v>
      </c>
      <c r="AJ59" s="66">
        <f t="shared" si="57"/>
        <v>0</v>
      </c>
      <c r="AK59" s="66">
        <f t="shared" si="57"/>
        <v>0</v>
      </c>
      <c r="AL59" s="66">
        <f t="shared" si="57"/>
        <v>0</v>
      </c>
      <c r="AM59" s="66">
        <f t="shared" si="57"/>
        <v>0</v>
      </c>
      <c r="AN59" s="66">
        <f t="shared" si="57"/>
        <v>0</v>
      </c>
      <c r="AO59" s="66">
        <f t="shared" ref="AO59:BN59" si="58">$F$52*AO25</f>
        <v>0</v>
      </c>
      <c r="AP59" s="66">
        <f t="shared" si="58"/>
        <v>0</v>
      </c>
      <c r="AQ59" s="66">
        <f t="shared" si="58"/>
        <v>0</v>
      </c>
      <c r="AR59" s="66">
        <f t="shared" si="58"/>
        <v>0</v>
      </c>
      <c r="AS59" s="66">
        <f t="shared" si="58"/>
        <v>0</v>
      </c>
      <c r="AT59" s="66">
        <f t="shared" si="58"/>
        <v>0</v>
      </c>
      <c r="AU59" s="66">
        <f t="shared" si="58"/>
        <v>0</v>
      </c>
      <c r="AV59" s="66">
        <f t="shared" si="58"/>
        <v>0</v>
      </c>
      <c r="AW59" s="66">
        <f t="shared" si="58"/>
        <v>0</v>
      </c>
      <c r="AX59" s="66">
        <f t="shared" si="58"/>
        <v>0</v>
      </c>
      <c r="AY59" s="66">
        <f t="shared" si="58"/>
        <v>0</v>
      </c>
      <c r="AZ59" s="66">
        <f t="shared" si="58"/>
        <v>0</v>
      </c>
      <c r="BA59" s="66">
        <f t="shared" si="58"/>
        <v>0</v>
      </c>
      <c r="BB59" s="66">
        <f t="shared" si="58"/>
        <v>0</v>
      </c>
      <c r="BC59" s="66">
        <f t="shared" si="58"/>
        <v>0</v>
      </c>
      <c r="BD59" s="66">
        <f t="shared" si="58"/>
        <v>0</v>
      </c>
      <c r="BE59" s="66">
        <f t="shared" si="58"/>
        <v>0</v>
      </c>
      <c r="BF59" s="66">
        <f t="shared" si="58"/>
        <v>0</v>
      </c>
      <c r="BG59" s="66">
        <f t="shared" si="58"/>
        <v>0</v>
      </c>
      <c r="BH59" s="66">
        <f t="shared" si="58"/>
        <v>0</v>
      </c>
      <c r="BI59" s="66">
        <f t="shared" si="58"/>
        <v>0</v>
      </c>
      <c r="BJ59" s="66">
        <f t="shared" si="58"/>
        <v>0</v>
      </c>
      <c r="BK59" s="66">
        <f t="shared" si="58"/>
        <v>0</v>
      </c>
      <c r="BL59" s="66">
        <f t="shared" si="58"/>
        <v>0</v>
      </c>
      <c r="BM59" s="66">
        <f t="shared" si="58"/>
        <v>0</v>
      </c>
      <c r="BN59" s="66">
        <f t="shared" si="58"/>
        <v>0</v>
      </c>
      <c r="BO59" s="20"/>
      <c r="BP59" s="66">
        <f t="shared" si="21"/>
        <v>0</v>
      </c>
      <c r="BQ59" s="66">
        <f t="shared" si="22"/>
        <v>0</v>
      </c>
      <c r="BR59" s="66">
        <f t="shared" si="23"/>
        <v>0</v>
      </c>
      <c r="BS59" s="66">
        <f t="shared" si="24"/>
        <v>0</v>
      </c>
      <c r="BT59" s="66">
        <f t="shared" si="25"/>
        <v>0</v>
      </c>
    </row>
    <row r="60" spans="1:72" ht="18" customHeight="1" outlineLevel="1" x14ac:dyDescent="0.35">
      <c r="A60" s="27"/>
      <c r="B60" s="27"/>
      <c r="C60" s="63" t="str">
        <f t="shared" si="18"/>
        <v># Pay-per-use Produto/Serviço 3</v>
      </c>
      <c r="D60" s="27"/>
      <c r="E60" s="27"/>
      <c r="F60" s="68">
        <f>'1.Premissas Receitas'!C65</f>
        <v>1</v>
      </c>
      <c r="G60" s="66">
        <f t="shared" si="46"/>
        <v>0</v>
      </c>
      <c r="H60" s="66">
        <f>$F$60*H23</f>
        <v>0</v>
      </c>
      <c r="I60" s="66">
        <f t="shared" ref="I60:AN60" si="59">$F$52*I26</f>
        <v>0</v>
      </c>
      <c r="J60" s="66">
        <f t="shared" si="59"/>
        <v>0</v>
      </c>
      <c r="K60" s="66">
        <f t="shared" si="59"/>
        <v>0</v>
      </c>
      <c r="L60" s="66">
        <f t="shared" si="59"/>
        <v>0</v>
      </c>
      <c r="M60" s="66">
        <f t="shared" si="59"/>
        <v>0</v>
      </c>
      <c r="N60" s="66">
        <f t="shared" si="59"/>
        <v>0</v>
      </c>
      <c r="O60" s="66">
        <f t="shared" si="59"/>
        <v>0</v>
      </c>
      <c r="P60" s="66">
        <f t="shared" si="59"/>
        <v>0</v>
      </c>
      <c r="Q60" s="66">
        <f t="shared" si="59"/>
        <v>0</v>
      </c>
      <c r="R60" s="66">
        <f t="shared" si="59"/>
        <v>0</v>
      </c>
      <c r="S60" s="66">
        <f t="shared" si="59"/>
        <v>0</v>
      </c>
      <c r="T60" s="66">
        <f t="shared" si="59"/>
        <v>0</v>
      </c>
      <c r="U60" s="66">
        <f t="shared" si="59"/>
        <v>0</v>
      </c>
      <c r="V60" s="66">
        <f t="shared" si="59"/>
        <v>0</v>
      </c>
      <c r="W60" s="66">
        <f t="shared" si="59"/>
        <v>0</v>
      </c>
      <c r="X60" s="66">
        <f t="shared" si="59"/>
        <v>0</v>
      </c>
      <c r="Y60" s="66">
        <f t="shared" si="59"/>
        <v>0</v>
      </c>
      <c r="Z60" s="66">
        <f t="shared" si="59"/>
        <v>0</v>
      </c>
      <c r="AA60" s="66">
        <f t="shared" si="59"/>
        <v>0</v>
      </c>
      <c r="AB60" s="66">
        <f t="shared" si="59"/>
        <v>0</v>
      </c>
      <c r="AC60" s="66">
        <f t="shared" si="59"/>
        <v>0</v>
      </c>
      <c r="AD60" s="66">
        <f t="shared" si="59"/>
        <v>0</v>
      </c>
      <c r="AE60" s="66">
        <f t="shared" si="59"/>
        <v>0</v>
      </c>
      <c r="AF60" s="66">
        <f t="shared" si="59"/>
        <v>0</v>
      </c>
      <c r="AG60" s="66">
        <f t="shared" si="59"/>
        <v>0</v>
      </c>
      <c r="AH60" s="66">
        <f t="shared" si="59"/>
        <v>0</v>
      </c>
      <c r="AI60" s="66">
        <f t="shared" si="59"/>
        <v>0</v>
      </c>
      <c r="AJ60" s="66">
        <f t="shared" si="59"/>
        <v>0</v>
      </c>
      <c r="AK60" s="66">
        <f t="shared" si="59"/>
        <v>0</v>
      </c>
      <c r="AL60" s="66">
        <f t="shared" si="59"/>
        <v>0</v>
      </c>
      <c r="AM60" s="66">
        <f t="shared" si="59"/>
        <v>0</v>
      </c>
      <c r="AN60" s="66">
        <f t="shared" si="59"/>
        <v>0</v>
      </c>
      <c r="AO60" s="66">
        <f t="shared" ref="AO60:BN60" si="60">$F$52*AO26</f>
        <v>0</v>
      </c>
      <c r="AP60" s="66">
        <f t="shared" si="60"/>
        <v>0</v>
      </c>
      <c r="AQ60" s="66">
        <f t="shared" si="60"/>
        <v>0</v>
      </c>
      <c r="AR60" s="66">
        <f t="shared" si="60"/>
        <v>0</v>
      </c>
      <c r="AS60" s="66">
        <f t="shared" si="60"/>
        <v>0</v>
      </c>
      <c r="AT60" s="66">
        <f t="shared" si="60"/>
        <v>0</v>
      </c>
      <c r="AU60" s="66">
        <f t="shared" si="60"/>
        <v>0</v>
      </c>
      <c r="AV60" s="66">
        <f t="shared" si="60"/>
        <v>0</v>
      </c>
      <c r="AW60" s="66">
        <f t="shared" si="60"/>
        <v>0</v>
      </c>
      <c r="AX60" s="66">
        <f t="shared" si="60"/>
        <v>0</v>
      </c>
      <c r="AY60" s="66">
        <f t="shared" si="60"/>
        <v>0</v>
      </c>
      <c r="AZ60" s="66">
        <f t="shared" si="60"/>
        <v>0</v>
      </c>
      <c r="BA60" s="66">
        <f t="shared" si="60"/>
        <v>0</v>
      </c>
      <c r="BB60" s="66">
        <f t="shared" si="60"/>
        <v>0</v>
      </c>
      <c r="BC60" s="66">
        <f t="shared" si="60"/>
        <v>0</v>
      </c>
      <c r="BD60" s="66">
        <f t="shared" si="60"/>
        <v>0</v>
      </c>
      <c r="BE60" s="66">
        <f t="shared" si="60"/>
        <v>0</v>
      </c>
      <c r="BF60" s="66">
        <f t="shared" si="60"/>
        <v>0</v>
      </c>
      <c r="BG60" s="66">
        <f t="shared" si="60"/>
        <v>0</v>
      </c>
      <c r="BH60" s="66">
        <f t="shared" si="60"/>
        <v>0</v>
      </c>
      <c r="BI60" s="66">
        <f t="shared" si="60"/>
        <v>0</v>
      </c>
      <c r="BJ60" s="66">
        <f t="shared" si="60"/>
        <v>0</v>
      </c>
      <c r="BK60" s="66">
        <f t="shared" si="60"/>
        <v>0</v>
      </c>
      <c r="BL60" s="66">
        <f t="shared" si="60"/>
        <v>0</v>
      </c>
      <c r="BM60" s="66">
        <f t="shared" si="60"/>
        <v>0</v>
      </c>
      <c r="BN60" s="66">
        <f t="shared" si="60"/>
        <v>0</v>
      </c>
      <c r="BO60" s="20"/>
      <c r="BP60" s="66">
        <f t="shared" si="21"/>
        <v>0</v>
      </c>
      <c r="BQ60" s="66">
        <f t="shared" si="22"/>
        <v>0</v>
      </c>
      <c r="BR60" s="66">
        <f t="shared" si="23"/>
        <v>0</v>
      </c>
      <c r="BS60" s="66">
        <f t="shared" si="24"/>
        <v>0</v>
      </c>
      <c r="BT60" s="66">
        <f t="shared" si="25"/>
        <v>0</v>
      </c>
    </row>
    <row r="61" spans="1:72" ht="18" customHeight="1" x14ac:dyDescent="0.35">
      <c r="A61" s="27"/>
      <c r="B61" s="64" t="s">
        <v>157</v>
      </c>
      <c r="C61" s="64"/>
      <c r="D61" s="64"/>
      <c r="E61" s="64"/>
      <c r="F61" s="64"/>
      <c r="G61" s="69">
        <f t="shared" ref="G61:AL61" si="61">SUM(G42:G60)</f>
        <v>31437.666666666672</v>
      </c>
      <c r="H61" s="69">
        <f t="shared" si="61"/>
        <v>63818.463333333348</v>
      </c>
      <c r="I61" s="69">
        <f t="shared" si="61"/>
        <v>97170.683900000004</v>
      </c>
      <c r="J61" s="69">
        <f t="shared" si="61"/>
        <v>131523.47108366669</v>
      </c>
      <c r="K61" s="69">
        <f t="shared" si="61"/>
        <v>166906.84188284335</v>
      </c>
      <c r="L61" s="69">
        <f t="shared" si="61"/>
        <v>203351.71380599533</v>
      </c>
      <c r="M61" s="69">
        <f t="shared" si="61"/>
        <v>240889.93188684183</v>
      </c>
      <c r="N61" s="69">
        <f t="shared" si="61"/>
        <v>279554.29651011375</v>
      </c>
      <c r="O61" s="69">
        <f t="shared" si="61"/>
        <v>319378.59207208385</v>
      </c>
      <c r="P61" s="69">
        <f t="shared" si="61"/>
        <v>360397.61650091305</v>
      </c>
      <c r="Q61" s="69">
        <f t="shared" si="61"/>
        <v>402647.21166260709</v>
      </c>
      <c r="R61" s="69">
        <f t="shared" si="61"/>
        <v>446164.29467915196</v>
      </c>
      <c r="S61" s="69">
        <f t="shared" si="61"/>
        <v>507088.21090231475</v>
      </c>
      <c r="T61" s="69">
        <f t="shared" si="61"/>
        <v>569839.84461217246</v>
      </c>
      <c r="U61" s="69">
        <f t="shared" si="61"/>
        <v>634474.02733332594</v>
      </c>
      <c r="V61" s="69">
        <f t="shared" si="61"/>
        <v>701047.23553611396</v>
      </c>
      <c r="W61" s="69">
        <f t="shared" si="61"/>
        <v>769617.6399849857</v>
      </c>
      <c r="X61" s="69">
        <f t="shared" si="61"/>
        <v>840245.1565673236</v>
      </c>
      <c r="Y61" s="69">
        <f t="shared" si="61"/>
        <v>912991.49864713149</v>
      </c>
      <c r="Z61" s="69">
        <f t="shared" si="61"/>
        <v>987920.23098933371</v>
      </c>
      <c r="AA61" s="69">
        <f t="shared" si="61"/>
        <v>1065096.825301802</v>
      </c>
      <c r="AB61" s="69">
        <f t="shared" si="61"/>
        <v>1144588.7174436443</v>
      </c>
      <c r="AC61" s="69">
        <f t="shared" si="61"/>
        <v>1226465.3663497418</v>
      </c>
      <c r="AD61" s="69">
        <f t="shared" si="61"/>
        <v>1310798.3147230223</v>
      </c>
      <c r="AE61" s="69">
        <f t="shared" si="61"/>
        <v>1420431.1476082869</v>
      </c>
      <c r="AF61" s="69">
        <f t="shared" si="61"/>
        <v>1533352.9654801094</v>
      </c>
      <c r="AG61" s="69">
        <f t="shared" si="61"/>
        <v>1649662.4378880865</v>
      </c>
      <c r="AH61" s="69">
        <f t="shared" si="61"/>
        <v>1769461.1944683031</v>
      </c>
      <c r="AI61" s="69">
        <f t="shared" si="61"/>
        <v>1892853.913745926</v>
      </c>
      <c r="AJ61" s="69">
        <f t="shared" si="61"/>
        <v>2019948.4146018778</v>
      </c>
      <c r="AK61" s="69">
        <f t="shared" si="61"/>
        <v>2150855.7504835078</v>
      </c>
      <c r="AL61" s="69">
        <f t="shared" si="61"/>
        <v>2285690.3064415869</v>
      </c>
      <c r="AM61" s="69">
        <f t="shared" ref="AM61:BN61" si="62">SUM(AM42:AM60)</f>
        <v>2424569.8990784087</v>
      </c>
      <c r="AN61" s="69">
        <f t="shared" si="62"/>
        <v>2567615.8794943355</v>
      </c>
      <c r="AO61" s="69">
        <f t="shared" si="62"/>
        <v>2714953.2393227392</v>
      </c>
      <c r="AP61" s="69">
        <f t="shared" si="62"/>
        <v>2866710.7199459951</v>
      </c>
      <c r="AQ61" s="69">
        <f t="shared" si="62"/>
        <v>3048819.6966939028</v>
      </c>
      <c r="AR61" s="69">
        <f t="shared" si="62"/>
        <v>3236391.9427442476</v>
      </c>
      <c r="AS61" s="69">
        <f t="shared" si="62"/>
        <v>3429591.3561761025</v>
      </c>
      <c r="AT61" s="69">
        <f t="shared" si="62"/>
        <v>3628586.7520109131</v>
      </c>
      <c r="AU61" s="69">
        <f t="shared" si="62"/>
        <v>3833552.0097207678</v>
      </c>
      <c r="AV61" s="69">
        <f t="shared" si="62"/>
        <v>4044666.2251619184</v>
      </c>
      <c r="AW61" s="69">
        <f t="shared" si="62"/>
        <v>4262113.8670663033</v>
      </c>
      <c r="AX61" s="69">
        <f t="shared" si="62"/>
        <v>4486084.9382278202</v>
      </c>
      <c r="AY61" s="69">
        <f t="shared" si="62"/>
        <v>4716775.1415241826</v>
      </c>
      <c r="AZ61" s="69">
        <f t="shared" si="62"/>
        <v>4954386.0509194359</v>
      </c>
      <c r="BA61" s="69">
        <f t="shared" si="62"/>
        <v>5199125.2875965461</v>
      </c>
      <c r="BB61" s="69">
        <f t="shared" si="62"/>
        <v>5451206.7013739701</v>
      </c>
      <c r="BC61" s="69">
        <f t="shared" si="62"/>
        <v>5741100.3272180073</v>
      </c>
      <c r="BD61" s="69">
        <f t="shared" si="62"/>
        <v>6039690.7618373651</v>
      </c>
      <c r="BE61" s="69">
        <f t="shared" si="62"/>
        <v>6347238.9094953043</v>
      </c>
      <c r="BF61" s="69">
        <f t="shared" si="62"/>
        <v>6664013.5015829829</v>
      </c>
      <c r="BG61" s="69">
        <f t="shared" si="62"/>
        <v>6990291.3314332915</v>
      </c>
      <c r="BH61" s="69">
        <f t="shared" si="62"/>
        <v>7326357.4961791085</v>
      </c>
      <c r="BI61" s="69">
        <f t="shared" si="62"/>
        <v>7672505.6458673002</v>
      </c>
      <c r="BJ61" s="69">
        <f t="shared" si="62"/>
        <v>8029038.2400461379</v>
      </c>
      <c r="BK61" s="69">
        <f t="shared" si="62"/>
        <v>8396266.8120503388</v>
      </c>
      <c r="BL61" s="69">
        <f t="shared" si="62"/>
        <v>8774512.2412146665</v>
      </c>
      <c r="BM61" s="69">
        <f t="shared" si="62"/>
        <v>9164105.0332539249</v>
      </c>
      <c r="BN61" s="69">
        <f t="shared" si="62"/>
        <v>9565385.6090543587</v>
      </c>
      <c r="BO61" s="70"/>
      <c r="BP61" s="69">
        <f>SUM(BP42:BP60)</f>
        <v>446164.29467915185</v>
      </c>
      <c r="BQ61" s="69">
        <f>SUM(BQ42:BQ60)</f>
        <v>1249874.3984998595</v>
      </c>
      <c r="BR61" s="69">
        <f>SUM(BR42:BR60)</f>
        <v>2805786.8037228324</v>
      </c>
      <c r="BS61" s="69">
        <f>SUM(BS42:BS60)</f>
        <v>5390282.7851508055</v>
      </c>
      <c r="BT61" s="69">
        <f>SUM(BT42:BT60)</f>
        <v>9504461.6928311978</v>
      </c>
    </row>
    <row r="62" spans="1:72" ht="15.75" customHeight="1" x14ac:dyDescent="0.35">
      <c r="A62" s="20"/>
      <c r="B62" s="71" t="s">
        <v>158</v>
      </c>
      <c r="C62" s="20"/>
      <c r="D62" s="20"/>
      <c r="E62" s="20"/>
      <c r="F62" s="20"/>
      <c r="G62" s="72" t="str">
        <f t="shared" ref="G62:AL62" si="63">+IFERROR(G61/F61-1,"-")</f>
        <v>-</v>
      </c>
      <c r="H62" s="73">
        <f t="shared" si="63"/>
        <v>1.0300000000000002</v>
      </c>
      <c r="I62" s="73">
        <f t="shared" si="63"/>
        <v>0.52261083743842329</v>
      </c>
      <c r="J62" s="73">
        <f t="shared" si="63"/>
        <v>0.35353036332459831</v>
      </c>
      <c r="K62" s="73">
        <f t="shared" si="63"/>
        <v>0.26902704519308229</v>
      </c>
      <c r="L62" s="73">
        <f t="shared" si="63"/>
        <v>0.21835457140057613</v>
      </c>
      <c r="M62" s="73">
        <f t="shared" si="63"/>
        <v>0.1845975004501772</v>
      </c>
      <c r="N62" s="74">
        <f t="shared" si="63"/>
        <v>0.16050635375427191</v>
      </c>
      <c r="O62" s="74">
        <f t="shared" si="63"/>
        <v>0.14245638882723921</v>
      </c>
      <c r="P62" s="74">
        <f t="shared" si="63"/>
        <v>0.12843385701810339</v>
      </c>
      <c r="Q62" s="74">
        <f t="shared" si="63"/>
        <v>0.11723050660515955</v>
      </c>
      <c r="R62" s="74">
        <f t="shared" si="63"/>
        <v>0.10807744784039253</v>
      </c>
      <c r="S62" s="74">
        <f t="shared" si="63"/>
        <v>0.13655040743897873</v>
      </c>
      <c r="T62" s="74">
        <f t="shared" si="63"/>
        <v>0.12374895010514475</v>
      </c>
      <c r="U62" s="74">
        <f t="shared" si="63"/>
        <v>0.11342517258536544</v>
      </c>
      <c r="V62" s="74">
        <f t="shared" si="63"/>
        <v>0.10492660902542084</v>
      </c>
      <c r="W62" s="74">
        <f t="shared" si="63"/>
        <v>9.7811389836568896E-2</v>
      </c>
      <c r="X62" s="74">
        <f t="shared" si="63"/>
        <v>9.1769617681470628E-2</v>
      </c>
      <c r="Y62" s="74">
        <f t="shared" si="63"/>
        <v>8.6577520276344799E-2</v>
      </c>
      <c r="Z62" s="74">
        <f t="shared" si="63"/>
        <v>8.2069474308612334E-2</v>
      </c>
      <c r="AA62" s="74">
        <f t="shared" si="63"/>
        <v>7.8120269118470587E-2</v>
      </c>
      <c r="AB62" s="74">
        <f t="shared" si="63"/>
        <v>7.4633488950000215E-2</v>
      </c>
      <c r="AC62" s="74">
        <f t="shared" si="63"/>
        <v>7.1533685120505952E-2</v>
      </c>
      <c r="AD62" s="74">
        <f t="shared" si="63"/>
        <v>6.8760970091047646E-2</v>
      </c>
      <c r="AE62" s="74">
        <f t="shared" si="63"/>
        <v>8.3638216233464346E-2</v>
      </c>
      <c r="AF62" s="74">
        <f t="shared" si="63"/>
        <v>7.9498269283913903E-2</v>
      </c>
      <c r="AG62" s="74">
        <f t="shared" si="63"/>
        <v>7.5853032554418665E-2</v>
      </c>
      <c r="AH62" s="74">
        <f t="shared" si="63"/>
        <v>7.262016387642567E-2</v>
      </c>
      <c r="AI62" s="74">
        <f t="shared" si="63"/>
        <v>6.9734628633492335E-2</v>
      </c>
      <c r="AJ62" s="74">
        <f t="shared" si="63"/>
        <v>6.7144379147799027E-2</v>
      </c>
      <c r="AK62" s="74">
        <f t="shared" si="63"/>
        <v>6.4807266826876431E-2</v>
      </c>
      <c r="AL62" s="74">
        <f t="shared" si="63"/>
        <v>6.2688795344722159E-2</v>
      </c>
      <c r="AM62" s="74">
        <f t="shared" ref="AM62:BN62" si="64">+IFERROR(AM61/AL61-1,"-")</f>
        <v>6.0760459212443552E-2</v>
      </c>
      <c r="AN62" s="74">
        <f t="shared" si="64"/>
        <v>5.8998497205751566E-2</v>
      </c>
      <c r="AO62" s="74">
        <f t="shared" si="64"/>
        <v>5.7382944623874277E-2</v>
      </c>
      <c r="AP62" s="74">
        <f t="shared" si="64"/>
        <v>5.5896904014859805E-2</v>
      </c>
      <c r="AQ62" s="74">
        <f t="shared" si="64"/>
        <v>6.3525411015778577E-2</v>
      </c>
      <c r="AR62" s="74">
        <f t="shared" si="64"/>
        <v>6.1522905488227364E-2</v>
      </c>
      <c r="AS62" s="74">
        <f t="shared" si="64"/>
        <v>5.9695925848843423E-2</v>
      </c>
      <c r="AT62" s="74">
        <f t="shared" si="64"/>
        <v>5.8023063149040821E-2</v>
      </c>
      <c r="AU62" s="74">
        <f t="shared" si="64"/>
        <v>5.648624980407746E-2</v>
      </c>
      <c r="AV62" s="74">
        <f t="shared" si="64"/>
        <v>5.5070132061812771E-2</v>
      </c>
      <c r="AW62" s="74">
        <f t="shared" si="64"/>
        <v>5.3761578780380015E-2</v>
      </c>
      <c r="AX62" s="74">
        <f t="shared" si="64"/>
        <v>5.2549293178711043E-2</v>
      </c>
      <c r="AY62" s="74">
        <f t="shared" si="64"/>
        <v>5.142350322673428E-2</v>
      </c>
      <c r="AZ62" s="74">
        <f t="shared" si="64"/>
        <v>5.0375712699009645E-2</v>
      </c>
      <c r="BA62" s="74">
        <f t="shared" si="64"/>
        <v>4.9398499463256584E-2</v>
      </c>
      <c r="BB62" s="74">
        <f t="shared" si="64"/>
        <v>4.8485350868310517E-2</v>
      </c>
      <c r="BC62" s="74">
        <f t="shared" si="64"/>
        <v>5.3179716294920576E-2</v>
      </c>
      <c r="BD62" s="74">
        <f t="shared" si="64"/>
        <v>5.2009269582656392E-2</v>
      </c>
      <c r="BE62" s="74">
        <f t="shared" si="64"/>
        <v>5.0921174574239059E-2</v>
      </c>
      <c r="BF62" s="74">
        <f t="shared" si="64"/>
        <v>4.9907463166983135E-2</v>
      </c>
      <c r="BG62" s="74">
        <f t="shared" si="64"/>
        <v>4.8961159783485364E-2</v>
      </c>
      <c r="BH62" s="74">
        <f t="shared" si="64"/>
        <v>4.8076131424541035E-2</v>
      </c>
      <c r="BI62" s="74">
        <f t="shared" si="64"/>
        <v>4.7246964111254064E-2</v>
      </c>
      <c r="BJ62" s="74">
        <f t="shared" si="64"/>
        <v>4.6468860452501426E-2</v>
      </c>
      <c r="BK62" s="74">
        <f t="shared" si="64"/>
        <v>4.5737554240629752E-2</v>
      </c>
      <c r="BL62" s="74">
        <f t="shared" si="64"/>
        <v>4.5049238861903484E-2</v>
      </c>
      <c r="BM62" s="74">
        <f t="shared" si="64"/>
        <v>4.4400506983089727E-2</v>
      </c>
      <c r="BN62" s="74">
        <f t="shared" si="64"/>
        <v>4.3788299495073568E-2</v>
      </c>
      <c r="BO62" s="20"/>
      <c r="BP62" s="20"/>
      <c r="BQ62" s="20"/>
      <c r="BR62" s="20"/>
      <c r="BS62" s="20"/>
      <c r="BT62" s="20"/>
    </row>
    <row r="63" spans="1:72" ht="18" customHeight="1" x14ac:dyDescent="0.35">
      <c r="A63" s="27"/>
      <c r="B63" s="27"/>
      <c r="C63" s="75"/>
      <c r="D63" s="27"/>
      <c r="E63" s="27"/>
      <c r="F63" s="27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/>
      <c r="AU63" s="76"/>
      <c r="AV63" s="76"/>
      <c r="AW63" s="76"/>
      <c r="AX63" s="76"/>
      <c r="AY63" s="76"/>
      <c r="AZ63" s="76"/>
      <c r="BA63" s="76"/>
      <c r="BB63" s="76"/>
      <c r="BC63" s="76"/>
      <c r="BD63" s="76"/>
      <c r="BE63" s="76"/>
      <c r="BF63" s="76"/>
      <c r="BG63" s="76"/>
      <c r="BH63" s="76"/>
      <c r="BI63" s="76"/>
      <c r="BJ63" s="76"/>
      <c r="BK63" s="76"/>
      <c r="BL63" s="76"/>
      <c r="BM63" s="76"/>
      <c r="BN63" s="76"/>
      <c r="BO63" s="27"/>
      <c r="BP63" s="27"/>
      <c r="BQ63" s="27"/>
      <c r="BR63" s="27"/>
      <c r="BS63" s="27"/>
      <c r="BT63" s="27"/>
    </row>
    <row r="64" spans="1:72" ht="18" customHeight="1" x14ac:dyDescent="0.35">
      <c r="A64" s="27"/>
      <c r="B64" s="27" t="s">
        <v>159</v>
      </c>
      <c r="C64" s="75"/>
      <c r="D64" s="27"/>
      <c r="E64" s="27"/>
      <c r="F64" s="27"/>
      <c r="G64" s="67">
        <f t="shared" ref="G64:AL64" si="65">+-G36</f>
        <v>0</v>
      </c>
      <c r="H64" s="67">
        <f t="shared" si="65"/>
        <v>-0.06</v>
      </c>
      <c r="I64" s="67">
        <f t="shared" si="65"/>
        <v>-6.1800000000000001E-2</v>
      </c>
      <c r="J64" s="67">
        <f t="shared" si="65"/>
        <v>-6.3654000000000002E-2</v>
      </c>
      <c r="K64" s="67">
        <f t="shared" si="65"/>
        <v>-6.5563620000000003E-2</v>
      </c>
      <c r="L64" s="67">
        <f t="shared" si="65"/>
        <v>-6.7530528599999987E-2</v>
      </c>
      <c r="M64" s="67">
        <f t="shared" si="65"/>
        <v>-6.9556444457999994E-2</v>
      </c>
      <c r="N64" s="67">
        <f t="shared" si="65"/>
        <v>-7.1643137791740003E-2</v>
      </c>
      <c r="O64" s="67">
        <f t="shared" si="65"/>
        <v>-7.3792431925492202E-2</v>
      </c>
      <c r="P64" s="67">
        <f t="shared" si="65"/>
        <v>-7.6006204883256961E-2</v>
      </c>
      <c r="Q64" s="67">
        <f t="shared" si="65"/>
        <v>-7.8286391029754682E-2</v>
      </c>
      <c r="R64" s="67">
        <f t="shared" si="65"/>
        <v>-8.0634982760647317E-2</v>
      </c>
      <c r="S64" s="67">
        <f t="shared" si="65"/>
        <v>-8.3054032243466747E-2</v>
      </c>
      <c r="T64" s="67">
        <f t="shared" si="65"/>
        <v>-0.11627564514085344</v>
      </c>
      <c r="U64" s="67">
        <f t="shared" si="65"/>
        <v>-0.11976391449507903</v>
      </c>
      <c r="V64" s="67">
        <f t="shared" si="65"/>
        <v>-0.12335683192993141</v>
      </c>
      <c r="W64" s="67">
        <f t="shared" si="65"/>
        <v>-0.12705753688782934</v>
      </c>
      <c r="X64" s="67">
        <f t="shared" si="65"/>
        <v>-0.13086926299446422</v>
      </c>
      <c r="Y64" s="67">
        <f t="shared" si="65"/>
        <v>-0.13479534088429812</v>
      </c>
      <c r="Z64" s="67">
        <f t="shared" si="65"/>
        <v>-0.13883920111082707</v>
      </c>
      <c r="AA64" s="67">
        <f t="shared" si="65"/>
        <v>-0.1430043771441519</v>
      </c>
      <c r="AB64" s="67">
        <f t="shared" si="65"/>
        <v>-0.14729450845847644</v>
      </c>
      <c r="AC64" s="67">
        <f t="shared" si="65"/>
        <v>-0.15171334371223072</v>
      </c>
      <c r="AD64" s="67">
        <f t="shared" si="65"/>
        <v>-0.15626474402359763</v>
      </c>
      <c r="AE64" s="67">
        <f t="shared" si="65"/>
        <v>-0.1609526863443056</v>
      </c>
      <c r="AF64" s="67">
        <f t="shared" si="65"/>
        <v>-0.20923849224759727</v>
      </c>
      <c r="AG64" s="67">
        <f t="shared" si="65"/>
        <v>-0.21551564701502518</v>
      </c>
      <c r="AH64" s="67">
        <f t="shared" si="65"/>
        <v>-0.22198111642547594</v>
      </c>
      <c r="AI64" s="67">
        <f t="shared" si="65"/>
        <v>-0.2286405499182402</v>
      </c>
      <c r="AJ64" s="67">
        <f t="shared" si="65"/>
        <v>-0.23549976641578743</v>
      </c>
      <c r="AK64" s="67">
        <f t="shared" si="65"/>
        <v>-0.24256475940826103</v>
      </c>
      <c r="AL64" s="67">
        <f t="shared" si="65"/>
        <v>-0.24984170219050886</v>
      </c>
      <c r="AM64" s="67">
        <f t="shared" ref="AM64:BN64" si="66">+-AM36</f>
        <v>-0.25733695325622408</v>
      </c>
      <c r="AN64" s="67">
        <f t="shared" si="66"/>
        <v>-0.26505706185391081</v>
      </c>
      <c r="AO64" s="67">
        <f t="shared" si="66"/>
        <v>-0.27300877370952814</v>
      </c>
      <c r="AP64" s="67">
        <f t="shared" si="66"/>
        <v>-0.28119903692081399</v>
      </c>
      <c r="AQ64" s="67">
        <f t="shared" si="66"/>
        <v>-0.28963500802843839</v>
      </c>
      <c r="AR64" s="67">
        <f t="shared" si="66"/>
        <v>-0.34756200963412609</v>
      </c>
      <c r="AS64" s="67">
        <f t="shared" si="66"/>
        <v>-0.35798886992314988</v>
      </c>
      <c r="AT64" s="67">
        <f t="shared" si="66"/>
        <v>-0.36872853602084432</v>
      </c>
      <c r="AU64" s="67">
        <f t="shared" si="66"/>
        <v>-0.37979039210146964</v>
      </c>
      <c r="AV64" s="67">
        <f t="shared" si="66"/>
        <v>-0.3911841038645138</v>
      </c>
      <c r="AW64" s="67">
        <f t="shared" si="66"/>
        <v>-0.40291962698044914</v>
      </c>
      <c r="AX64" s="67">
        <f t="shared" si="66"/>
        <v>-0.41500721578986266</v>
      </c>
      <c r="AY64" s="67">
        <f t="shared" si="66"/>
        <v>-0.42745743226355853</v>
      </c>
      <c r="AZ64" s="67">
        <f t="shared" si="66"/>
        <v>-0.44028115523146538</v>
      </c>
      <c r="BA64" s="67">
        <f t="shared" si="66"/>
        <v>-0.45348958988840926</v>
      </c>
      <c r="BB64" s="67">
        <f t="shared" si="66"/>
        <v>-0.46709427758506156</v>
      </c>
      <c r="BC64" s="67">
        <f t="shared" si="66"/>
        <v>-0.48110710591261335</v>
      </c>
      <c r="BD64" s="67">
        <f t="shared" si="66"/>
        <v>-0.55327317179950541</v>
      </c>
      <c r="BE64" s="67">
        <f t="shared" si="66"/>
        <v>-0.56987136695349061</v>
      </c>
      <c r="BF64" s="67">
        <f t="shared" si="66"/>
        <v>-0.58696750796209529</v>
      </c>
      <c r="BG64" s="67">
        <f t="shared" si="66"/>
        <v>-0.60457653320095828</v>
      </c>
      <c r="BH64" s="67">
        <f t="shared" si="66"/>
        <v>-0.62271382919698703</v>
      </c>
      <c r="BI64" s="67">
        <f t="shared" si="66"/>
        <v>-0.64139524407289661</v>
      </c>
      <c r="BJ64" s="67">
        <f t="shared" si="66"/>
        <v>-0.66063710139508347</v>
      </c>
      <c r="BK64" s="67">
        <f t="shared" si="66"/>
        <v>-0.68045621443693594</v>
      </c>
      <c r="BL64" s="67">
        <f t="shared" si="66"/>
        <v>-0.70086990087004397</v>
      </c>
      <c r="BM64" s="67">
        <f t="shared" si="66"/>
        <v>-0.72189599789614534</v>
      </c>
      <c r="BN64" s="67">
        <f t="shared" si="66"/>
        <v>0</v>
      </c>
      <c r="BO64" s="27"/>
      <c r="BP64" s="27"/>
      <c r="BQ64" s="27"/>
      <c r="BR64" s="27"/>
      <c r="BS64" s="27"/>
      <c r="BT64" s="27"/>
    </row>
    <row r="65" spans="1:72" ht="18" customHeight="1" outlineLevel="1" x14ac:dyDescent="0.35">
      <c r="A65" s="27"/>
      <c r="B65" s="27"/>
      <c r="C65" s="20" t="str">
        <f t="shared" ref="C65:C70" si="67">C30</f>
        <v># de clientes Assinatura Fremium</v>
      </c>
      <c r="D65" s="27"/>
      <c r="E65" s="27"/>
      <c r="F65" s="68">
        <f>'1.Premissas Receitas'!C25</f>
        <v>1</v>
      </c>
      <c r="G65" s="66">
        <f t="shared" ref="G65:AL65" si="68">-G30*$F$65</f>
        <v>0</v>
      </c>
      <c r="H65" s="66">
        <f t="shared" si="68"/>
        <v>-0.03</v>
      </c>
      <c r="I65" s="66">
        <f t="shared" si="68"/>
        <v>-3.09E-2</v>
      </c>
      <c r="J65" s="66">
        <f t="shared" si="68"/>
        <v>-3.1826999999999994E-2</v>
      </c>
      <c r="K65" s="66">
        <f t="shared" si="68"/>
        <v>-3.2781810000000002E-2</v>
      </c>
      <c r="L65" s="66">
        <f t="shared" si="68"/>
        <v>-3.3765264299999993E-2</v>
      </c>
      <c r="M65" s="66">
        <f t="shared" si="68"/>
        <v>-3.4778222228999997E-2</v>
      </c>
      <c r="N65" s="66">
        <f t="shared" si="68"/>
        <v>-3.5821568895869994E-2</v>
      </c>
      <c r="O65" s="66">
        <f t="shared" si="68"/>
        <v>-3.6896215962746101E-2</v>
      </c>
      <c r="P65" s="66">
        <f t="shared" si="68"/>
        <v>-3.8003102441628481E-2</v>
      </c>
      <c r="Q65" s="66">
        <f t="shared" si="68"/>
        <v>-3.9143195514877341E-2</v>
      </c>
      <c r="R65" s="66">
        <f t="shared" si="68"/>
        <v>-4.0317491380323658E-2</v>
      </c>
      <c r="S65" s="66">
        <f t="shared" si="68"/>
        <v>-4.1527016121733366E-2</v>
      </c>
      <c r="T65" s="66">
        <f t="shared" si="68"/>
        <v>-5.8137822570426718E-2</v>
      </c>
      <c r="U65" s="66">
        <f t="shared" si="68"/>
        <v>-5.9881957247539516E-2</v>
      </c>
      <c r="V65" s="66">
        <f t="shared" si="68"/>
        <v>-6.1678415964965698E-2</v>
      </c>
      <c r="W65" s="66">
        <f t="shared" si="68"/>
        <v>-6.3528768443914668E-2</v>
      </c>
      <c r="X65" s="66">
        <f t="shared" si="68"/>
        <v>-6.543463149723211E-2</v>
      </c>
      <c r="Y65" s="66">
        <f t="shared" si="68"/>
        <v>-6.739767044214906E-2</v>
      </c>
      <c r="Z65" s="66">
        <f t="shared" si="68"/>
        <v>-6.9419600555413533E-2</v>
      </c>
      <c r="AA65" s="66">
        <f t="shared" si="68"/>
        <v>-7.150218857207595E-2</v>
      </c>
      <c r="AB65" s="66">
        <f t="shared" si="68"/>
        <v>-7.3647254229238221E-2</v>
      </c>
      <c r="AC65" s="66">
        <f t="shared" si="68"/>
        <v>-7.5856671856115374E-2</v>
      </c>
      <c r="AD65" s="66">
        <f t="shared" si="68"/>
        <v>-7.8132372011798845E-2</v>
      </c>
      <c r="AE65" s="66">
        <f t="shared" si="68"/>
        <v>-8.0476343172152812E-2</v>
      </c>
      <c r="AF65" s="66">
        <f t="shared" si="68"/>
        <v>-0.10461924612379865</v>
      </c>
      <c r="AG65" s="66">
        <f t="shared" si="68"/>
        <v>-0.10775782350751262</v>
      </c>
      <c r="AH65" s="66">
        <f t="shared" si="68"/>
        <v>-0.110990558212738</v>
      </c>
      <c r="AI65" s="66">
        <f t="shared" si="68"/>
        <v>-0.11432027495912013</v>
      </c>
      <c r="AJ65" s="66">
        <f t="shared" si="68"/>
        <v>-0.11774988320789374</v>
      </c>
      <c r="AK65" s="66">
        <f t="shared" si="68"/>
        <v>-0.12128237970413054</v>
      </c>
      <c r="AL65" s="66">
        <f t="shared" si="68"/>
        <v>-0.12492085109525444</v>
      </c>
      <c r="AM65" s="66">
        <f t="shared" ref="AM65:BN65" si="69">-AM30*$F$65</f>
        <v>-0.12866847662811207</v>
      </c>
      <c r="AN65" s="66">
        <f t="shared" si="69"/>
        <v>-0.13252853092695543</v>
      </c>
      <c r="AO65" s="66">
        <f t="shared" si="69"/>
        <v>-0.1365043868547641</v>
      </c>
      <c r="AP65" s="66">
        <f t="shared" si="69"/>
        <v>-0.14059951846040702</v>
      </c>
      <c r="AQ65" s="66">
        <f t="shared" si="69"/>
        <v>-0.14481750401421922</v>
      </c>
      <c r="AR65" s="66">
        <f t="shared" si="69"/>
        <v>-0.17378100481706307</v>
      </c>
      <c r="AS65" s="66">
        <f t="shared" si="69"/>
        <v>-0.17899443496157497</v>
      </c>
      <c r="AT65" s="66">
        <f t="shared" si="69"/>
        <v>-0.18436426801042219</v>
      </c>
      <c r="AU65" s="66">
        <f t="shared" si="69"/>
        <v>-0.18989519605073485</v>
      </c>
      <c r="AV65" s="66">
        <f t="shared" si="69"/>
        <v>-0.1955920519322569</v>
      </c>
      <c r="AW65" s="66">
        <f t="shared" si="69"/>
        <v>-0.20145981349022463</v>
      </c>
      <c r="AX65" s="66">
        <f t="shared" si="69"/>
        <v>-0.20750360789493136</v>
      </c>
      <c r="AY65" s="66">
        <f t="shared" si="69"/>
        <v>-0.21372871613177929</v>
      </c>
      <c r="AZ65" s="66">
        <f t="shared" si="69"/>
        <v>-0.22014057761573269</v>
      </c>
      <c r="BA65" s="66">
        <f t="shared" si="69"/>
        <v>-0.22674479494420466</v>
      </c>
      <c r="BB65" s="66">
        <f t="shared" si="69"/>
        <v>-0.23354713879253081</v>
      </c>
      <c r="BC65" s="66">
        <f t="shared" si="69"/>
        <v>-0.24055355295630673</v>
      </c>
      <c r="BD65" s="66">
        <f t="shared" si="69"/>
        <v>-0.27663658589975276</v>
      </c>
      <c r="BE65" s="66">
        <f t="shared" si="69"/>
        <v>-0.28493568347674536</v>
      </c>
      <c r="BF65" s="66">
        <f t="shared" si="69"/>
        <v>-0.29348375398104776</v>
      </c>
      <c r="BG65" s="66">
        <f t="shared" si="69"/>
        <v>-0.30228826660047919</v>
      </c>
      <c r="BH65" s="66">
        <f t="shared" si="69"/>
        <v>-0.31135691459849357</v>
      </c>
      <c r="BI65" s="66">
        <f t="shared" si="69"/>
        <v>-0.32069762203644836</v>
      </c>
      <c r="BJ65" s="66">
        <f t="shared" si="69"/>
        <v>-0.33031855069754179</v>
      </c>
      <c r="BK65" s="66">
        <f t="shared" si="69"/>
        <v>-0.34022810721846802</v>
      </c>
      <c r="BL65" s="66">
        <f t="shared" si="69"/>
        <v>-0.3504349504350221</v>
      </c>
      <c r="BM65" s="66">
        <f t="shared" si="69"/>
        <v>-0.36094799894807272</v>
      </c>
      <c r="BN65" s="66">
        <f t="shared" si="69"/>
        <v>0</v>
      </c>
      <c r="BO65" s="66"/>
      <c r="BP65" s="66">
        <f t="shared" ref="BP65:BP70" si="70">SUM(G65:R65)</f>
        <v>-0.38423387072444548</v>
      </c>
      <c r="BQ65" s="66">
        <f t="shared" ref="BQ65:BQ70" si="71">SUM(T65:AD65)</f>
        <v>-0.74461735339086954</v>
      </c>
      <c r="BR65" s="66">
        <f t="shared" ref="BR65:BR70" si="72">SUM(AE65:AP65)</f>
        <v>-1.4204182728528396</v>
      </c>
      <c r="BS65" s="66">
        <f t="shared" ref="BS65:BS70" si="73">SUM(AQ65:BB65)</f>
        <v>-2.3705691086556748</v>
      </c>
      <c r="BT65" s="66">
        <f t="shared" ref="BT65:BT70" si="74">SUM(BC65:BN65)</f>
        <v>-3.4118819868483783</v>
      </c>
    </row>
    <row r="66" spans="1:72" ht="18" customHeight="1" outlineLevel="1" x14ac:dyDescent="0.35">
      <c r="A66" s="27"/>
      <c r="B66" s="27"/>
      <c r="C66" s="20" t="str">
        <f t="shared" si="67"/>
        <v># de clientes Assinatura 1</v>
      </c>
      <c r="D66" s="27"/>
      <c r="E66" s="27"/>
      <c r="F66" s="77">
        <f>'1.Premissas Receitas'!C26</f>
        <v>500</v>
      </c>
      <c r="G66" s="66">
        <f t="shared" ref="G66:AL66" si="75">-G31*$F$66</f>
        <v>0</v>
      </c>
      <c r="H66" s="66">
        <f t="shared" si="75"/>
        <v>-10.499999999999998</v>
      </c>
      <c r="I66" s="66">
        <f t="shared" si="75"/>
        <v>-10.815</v>
      </c>
      <c r="J66" s="66">
        <f t="shared" si="75"/>
        <v>-11.13945</v>
      </c>
      <c r="K66" s="66">
        <f t="shared" si="75"/>
        <v>-11.4736335</v>
      </c>
      <c r="L66" s="66">
        <f t="shared" si="75"/>
        <v>-11.817842505</v>
      </c>
      <c r="M66" s="66">
        <f t="shared" si="75"/>
        <v>-12.172377780150001</v>
      </c>
      <c r="N66" s="66">
        <f t="shared" si="75"/>
        <v>-12.537549113554501</v>
      </c>
      <c r="O66" s="66">
        <f t="shared" si="75"/>
        <v>-12.913675586961135</v>
      </c>
      <c r="P66" s="66">
        <f t="shared" si="75"/>
        <v>-13.301085854569969</v>
      </c>
      <c r="Q66" s="66">
        <f t="shared" si="75"/>
        <v>-13.700118430207068</v>
      </c>
      <c r="R66" s="66">
        <f t="shared" si="75"/>
        <v>-14.11112198311328</v>
      </c>
      <c r="S66" s="66">
        <f t="shared" si="75"/>
        <v>-14.53445564260668</v>
      </c>
      <c r="T66" s="66">
        <f t="shared" si="75"/>
        <v>-20.348237899649348</v>
      </c>
      <c r="U66" s="66">
        <f t="shared" si="75"/>
        <v>-20.95868503663883</v>
      </c>
      <c r="V66" s="66">
        <f t="shared" si="75"/>
        <v>-21.587445587737992</v>
      </c>
      <c r="W66" s="66">
        <f t="shared" si="75"/>
        <v>-22.235068955370135</v>
      </c>
      <c r="X66" s="66">
        <f t="shared" si="75"/>
        <v>-22.902121024031235</v>
      </c>
      <c r="Y66" s="66">
        <f t="shared" si="75"/>
        <v>-23.58918465475217</v>
      </c>
      <c r="Z66" s="66">
        <f t="shared" si="75"/>
        <v>-24.296860194394736</v>
      </c>
      <c r="AA66" s="66">
        <f t="shared" si="75"/>
        <v>-25.025766000226579</v>
      </c>
      <c r="AB66" s="66">
        <f t="shared" si="75"/>
        <v>-25.776538980233372</v>
      </c>
      <c r="AC66" s="66">
        <f t="shared" si="75"/>
        <v>-26.549835149640373</v>
      </c>
      <c r="AD66" s="66">
        <f t="shared" si="75"/>
        <v>-27.346330204129583</v>
      </c>
      <c r="AE66" s="66">
        <f t="shared" si="75"/>
        <v>-28.166720110253472</v>
      </c>
      <c r="AF66" s="66">
        <f t="shared" si="75"/>
        <v>-36.616736143329511</v>
      </c>
      <c r="AG66" s="66">
        <f t="shared" si="75"/>
        <v>-37.715238227629399</v>
      </c>
      <c r="AH66" s="66">
        <f t="shared" si="75"/>
        <v>-38.846695374458278</v>
      </c>
      <c r="AI66" s="66">
        <f t="shared" si="75"/>
        <v>-40.012096235692027</v>
      </c>
      <c r="AJ66" s="66">
        <f t="shared" si="75"/>
        <v>-41.212459122762787</v>
      </c>
      <c r="AK66" s="66">
        <f t="shared" si="75"/>
        <v>-42.448832896445666</v>
      </c>
      <c r="AL66" s="66">
        <f t="shared" si="75"/>
        <v>-43.722297883339031</v>
      </c>
      <c r="AM66" s="66">
        <f t="shared" ref="AM66:BN66" si="76">-AM31*$F$66</f>
        <v>-45.033966819839208</v>
      </c>
      <c r="AN66" s="66">
        <f t="shared" si="76"/>
        <v>-46.384985824434381</v>
      </c>
      <c r="AO66" s="66">
        <f t="shared" si="76"/>
        <v>-47.776535399167408</v>
      </c>
      <c r="AP66" s="66">
        <f t="shared" si="76"/>
        <v>-49.209831461142436</v>
      </c>
      <c r="AQ66" s="66">
        <f t="shared" si="76"/>
        <v>-50.686126404976704</v>
      </c>
      <c r="AR66" s="66">
        <f t="shared" si="76"/>
        <v>-60.82335168597205</v>
      </c>
      <c r="AS66" s="66">
        <f t="shared" si="76"/>
        <v>-62.648052236551202</v>
      </c>
      <c r="AT66" s="66">
        <f t="shared" si="76"/>
        <v>-64.527493803647758</v>
      </c>
      <c r="AU66" s="66">
        <f t="shared" si="76"/>
        <v>-66.463318617757167</v>
      </c>
      <c r="AV66" s="66">
        <f t="shared" si="76"/>
        <v>-68.457218176289899</v>
      </c>
      <c r="AW66" s="66">
        <f t="shared" si="76"/>
        <v>-70.510934721578579</v>
      </c>
      <c r="AX66" s="66">
        <f t="shared" si="76"/>
        <v>-72.626262763225938</v>
      </c>
      <c r="AY66" s="66">
        <f t="shared" si="76"/>
        <v>-74.805050646122723</v>
      </c>
      <c r="AZ66" s="66">
        <f t="shared" si="76"/>
        <v>-77.049202165506415</v>
      </c>
      <c r="BA66" s="66">
        <f t="shared" si="76"/>
        <v>-79.360678230471592</v>
      </c>
      <c r="BB66" s="66">
        <f t="shared" si="76"/>
        <v>-81.741498577385741</v>
      </c>
      <c r="BC66" s="66">
        <f t="shared" si="76"/>
        <v>-84.193743534707309</v>
      </c>
      <c r="BD66" s="66">
        <f t="shared" si="76"/>
        <v>-96.82280506491341</v>
      </c>
      <c r="BE66" s="66">
        <f t="shared" si="76"/>
        <v>-99.727489216860803</v>
      </c>
      <c r="BF66" s="66">
        <f t="shared" si="76"/>
        <v>-102.71931389336663</v>
      </c>
      <c r="BG66" s="66">
        <f t="shared" si="76"/>
        <v>-105.80089331016764</v>
      </c>
      <c r="BH66" s="66">
        <f t="shared" si="76"/>
        <v>-108.97492010947266</v>
      </c>
      <c r="BI66" s="66">
        <f t="shared" si="76"/>
        <v>-112.24416771275685</v>
      </c>
      <c r="BJ66" s="66">
        <f t="shared" si="76"/>
        <v>-115.61149274413955</v>
      </c>
      <c r="BK66" s="66">
        <f t="shared" si="76"/>
        <v>-119.07983752646375</v>
      </c>
      <c r="BL66" s="66">
        <f t="shared" si="76"/>
        <v>-122.65223265225764</v>
      </c>
      <c r="BM66" s="66">
        <f t="shared" si="76"/>
        <v>-126.33179963182539</v>
      </c>
      <c r="BN66" s="66">
        <f t="shared" si="76"/>
        <v>0</v>
      </c>
      <c r="BO66" s="66"/>
      <c r="BP66" s="66">
        <f t="shared" si="70"/>
        <v>-134.48185475355595</v>
      </c>
      <c r="BQ66" s="66">
        <f t="shared" si="71"/>
        <v>-260.61607368680433</v>
      </c>
      <c r="BR66" s="66">
        <f t="shared" si="72"/>
        <v>-497.14639549849352</v>
      </c>
      <c r="BS66" s="66">
        <f t="shared" si="73"/>
        <v>-829.69918802948587</v>
      </c>
      <c r="BT66" s="66">
        <f t="shared" si="74"/>
        <v>-1194.1586953969315</v>
      </c>
    </row>
    <row r="67" spans="1:72" ht="18" customHeight="1" outlineLevel="1" x14ac:dyDescent="0.35">
      <c r="A67" s="27"/>
      <c r="B67" s="27"/>
      <c r="C67" s="20" t="str">
        <f t="shared" si="67"/>
        <v># de clientes Assinatura 2</v>
      </c>
      <c r="D67" s="27"/>
      <c r="E67" s="27"/>
      <c r="F67" s="77">
        <f>'1.Premissas Receitas'!C27</f>
        <v>1400</v>
      </c>
      <c r="G67" s="66">
        <f t="shared" ref="G67:AL67" si="77">-G32*$F$67</f>
        <v>0</v>
      </c>
      <c r="H67" s="66">
        <f t="shared" si="77"/>
        <v>-12.6</v>
      </c>
      <c r="I67" s="66">
        <f t="shared" si="77"/>
        <v>-12.977999999999998</v>
      </c>
      <c r="J67" s="66">
        <f t="shared" si="77"/>
        <v>-13.36734</v>
      </c>
      <c r="K67" s="66">
        <f t="shared" si="77"/>
        <v>-13.7683602</v>
      </c>
      <c r="L67" s="66">
        <f t="shared" si="77"/>
        <v>-14.181411005999999</v>
      </c>
      <c r="M67" s="66">
        <f t="shared" si="77"/>
        <v>-14.606853336179999</v>
      </c>
      <c r="N67" s="66">
        <f t="shared" si="77"/>
        <v>-15.045058936265399</v>
      </c>
      <c r="O67" s="66">
        <f t="shared" si="77"/>
        <v>-15.496410704353361</v>
      </c>
      <c r="P67" s="66">
        <f t="shared" si="77"/>
        <v>-15.961303025483961</v>
      </c>
      <c r="Q67" s="66">
        <f t="shared" si="77"/>
        <v>-16.440142116248481</v>
      </c>
      <c r="R67" s="66">
        <f t="shared" si="77"/>
        <v>-16.933346379735937</v>
      </c>
      <c r="S67" s="66">
        <f t="shared" si="77"/>
        <v>-17.441346771128014</v>
      </c>
      <c r="T67" s="66">
        <f t="shared" si="77"/>
        <v>-24.417885479579223</v>
      </c>
      <c r="U67" s="66">
        <f t="shared" si="77"/>
        <v>-25.150422043966596</v>
      </c>
      <c r="V67" s="66">
        <f t="shared" si="77"/>
        <v>-25.904934705285594</v>
      </c>
      <c r="W67" s="66">
        <f t="shared" si="77"/>
        <v>-26.682082746444159</v>
      </c>
      <c r="X67" s="66">
        <f t="shared" si="77"/>
        <v>-27.482545228837488</v>
      </c>
      <c r="Y67" s="66">
        <f t="shared" si="77"/>
        <v>-28.307021585702607</v>
      </c>
      <c r="Z67" s="66">
        <f t="shared" si="77"/>
        <v>-29.156232233273684</v>
      </c>
      <c r="AA67" s="66">
        <f t="shared" si="77"/>
        <v>-30.030919200271896</v>
      </c>
      <c r="AB67" s="66">
        <f t="shared" si="77"/>
        <v>-30.931846776280054</v>
      </c>
      <c r="AC67" s="66">
        <f t="shared" si="77"/>
        <v>-31.859802179568451</v>
      </c>
      <c r="AD67" s="66">
        <f t="shared" si="77"/>
        <v>-32.815596244955508</v>
      </c>
      <c r="AE67" s="66">
        <f t="shared" si="77"/>
        <v>-33.800064132304172</v>
      </c>
      <c r="AF67" s="66">
        <f t="shared" si="77"/>
        <v>-43.940083371995421</v>
      </c>
      <c r="AG67" s="66">
        <f t="shared" si="77"/>
        <v>-45.258285873155288</v>
      </c>
      <c r="AH67" s="66">
        <f t="shared" si="77"/>
        <v>-46.616034449349954</v>
      </c>
      <c r="AI67" s="66">
        <f t="shared" si="77"/>
        <v>-48.01451548283044</v>
      </c>
      <c r="AJ67" s="66">
        <f t="shared" si="77"/>
        <v>-49.454950947315361</v>
      </c>
      <c r="AK67" s="66">
        <f t="shared" si="77"/>
        <v>-50.938599475734826</v>
      </c>
      <c r="AL67" s="66">
        <f t="shared" si="77"/>
        <v>-52.466757460006875</v>
      </c>
      <c r="AM67" s="66">
        <f t="shared" ref="AM67:BN67" si="78">-AM32*$F$67</f>
        <v>-54.04076018380708</v>
      </c>
      <c r="AN67" s="66">
        <f t="shared" si="78"/>
        <v>-55.661982989321281</v>
      </c>
      <c r="AO67" s="66">
        <f t="shared" si="78"/>
        <v>-57.331842479000926</v>
      </c>
      <c r="AP67" s="66">
        <f t="shared" si="78"/>
        <v>-59.051797753370955</v>
      </c>
      <c r="AQ67" s="66">
        <f t="shared" si="78"/>
        <v>-60.823351685972085</v>
      </c>
      <c r="AR67" s="66">
        <f t="shared" si="78"/>
        <v>-72.988022023166494</v>
      </c>
      <c r="AS67" s="66">
        <f t="shared" si="78"/>
        <v>-75.177662683861499</v>
      </c>
      <c r="AT67" s="66">
        <f t="shared" si="78"/>
        <v>-77.432992564377329</v>
      </c>
      <c r="AU67" s="66">
        <f t="shared" si="78"/>
        <v>-79.755982341308652</v>
      </c>
      <c r="AV67" s="66">
        <f t="shared" si="78"/>
        <v>-82.14866181154791</v>
      </c>
      <c r="AW67" s="66">
        <f t="shared" si="78"/>
        <v>-84.613121665894354</v>
      </c>
      <c r="AX67" s="66">
        <f t="shared" si="78"/>
        <v>-87.151515315871194</v>
      </c>
      <c r="AY67" s="66">
        <f t="shared" si="78"/>
        <v>-89.766060775347327</v>
      </c>
      <c r="AZ67" s="66">
        <f t="shared" si="78"/>
        <v>-92.459042598607738</v>
      </c>
      <c r="BA67" s="66">
        <f t="shared" si="78"/>
        <v>-95.23281387656597</v>
      </c>
      <c r="BB67" s="66">
        <f t="shared" si="78"/>
        <v>-98.089798292862938</v>
      </c>
      <c r="BC67" s="66">
        <f t="shared" si="78"/>
        <v>-101.03249224164882</v>
      </c>
      <c r="BD67" s="66">
        <f t="shared" si="78"/>
        <v>-116.18736607789616</v>
      </c>
      <c r="BE67" s="66">
        <f t="shared" si="78"/>
        <v>-119.67298706023304</v>
      </c>
      <c r="BF67" s="66">
        <f t="shared" si="78"/>
        <v>-123.26317667204005</v>
      </c>
      <c r="BG67" s="66">
        <f t="shared" si="78"/>
        <v>-126.96107197220124</v>
      </c>
      <c r="BH67" s="66">
        <f t="shared" si="78"/>
        <v>-130.76990413136727</v>
      </c>
      <c r="BI67" s="66">
        <f t="shared" si="78"/>
        <v>-134.69300125530827</v>
      </c>
      <c r="BJ67" s="66">
        <f t="shared" si="78"/>
        <v>-138.73379129296754</v>
      </c>
      <c r="BK67" s="66">
        <f t="shared" si="78"/>
        <v>-142.89580503175657</v>
      </c>
      <c r="BL67" s="66">
        <f t="shared" si="78"/>
        <v>-147.18267918270925</v>
      </c>
      <c r="BM67" s="66">
        <f t="shared" si="78"/>
        <v>-151.59815955819053</v>
      </c>
      <c r="BN67" s="66">
        <f t="shared" si="78"/>
        <v>0</v>
      </c>
      <c r="BO67" s="66"/>
      <c r="BP67" s="66">
        <f t="shared" si="70"/>
        <v>-161.37822570426715</v>
      </c>
      <c r="BQ67" s="66">
        <f t="shared" si="71"/>
        <v>-312.7392884241653</v>
      </c>
      <c r="BR67" s="66">
        <f t="shared" si="72"/>
        <v>-596.57567459819256</v>
      </c>
      <c r="BS67" s="66">
        <f t="shared" si="73"/>
        <v>-995.63902563538352</v>
      </c>
      <c r="BT67" s="66">
        <f t="shared" si="74"/>
        <v>-1432.9904344763188</v>
      </c>
    </row>
    <row r="68" spans="1:72" ht="18" customHeight="1" outlineLevel="1" x14ac:dyDescent="0.35">
      <c r="A68" s="27"/>
      <c r="B68" s="27"/>
      <c r="C68" s="63" t="str">
        <f t="shared" si="67"/>
        <v># Pay-per-use Produto/Serviço 1</v>
      </c>
      <c r="D68" s="27"/>
      <c r="E68" s="27"/>
      <c r="F68" s="68">
        <f>'1.Premissas Receitas'!C63</f>
        <v>1</v>
      </c>
      <c r="G68" s="66">
        <f t="shared" ref="G68:AL68" si="79">-G33*$F$68</f>
        <v>0</v>
      </c>
      <c r="H68" s="66">
        <f t="shared" si="79"/>
        <v>0</v>
      </c>
      <c r="I68" s="66">
        <f t="shared" si="79"/>
        <v>0</v>
      </c>
      <c r="J68" s="66">
        <f t="shared" si="79"/>
        <v>0</v>
      </c>
      <c r="K68" s="66">
        <f t="shared" si="79"/>
        <v>0</v>
      </c>
      <c r="L68" s="66">
        <f t="shared" si="79"/>
        <v>0</v>
      </c>
      <c r="M68" s="66">
        <f t="shared" si="79"/>
        <v>0</v>
      </c>
      <c r="N68" s="66">
        <f t="shared" si="79"/>
        <v>0</v>
      </c>
      <c r="O68" s="66">
        <f t="shared" si="79"/>
        <v>0</v>
      </c>
      <c r="P68" s="66">
        <f t="shared" si="79"/>
        <v>0</v>
      </c>
      <c r="Q68" s="66">
        <f t="shared" si="79"/>
        <v>0</v>
      </c>
      <c r="R68" s="66">
        <f t="shared" si="79"/>
        <v>0</v>
      </c>
      <c r="S68" s="66">
        <f t="shared" si="79"/>
        <v>0</v>
      </c>
      <c r="T68" s="66">
        <f t="shared" si="79"/>
        <v>0</v>
      </c>
      <c r="U68" s="66">
        <f t="shared" si="79"/>
        <v>0</v>
      </c>
      <c r="V68" s="66">
        <f t="shared" si="79"/>
        <v>0</v>
      </c>
      <c r="W68" s="66">
        <f t="shared" si="79"/>
        <v>0</v>
      </c>
      <c r="X68" s="66">
        <f t="shared" si="79"/>
        <v>0</v>
      </c>
      <c r="Y68" s="66">
        <f t="shared" si="79"/>
        <v>0</v>
      </c>
      <c r="Z68" s="66">
        <f t="shared" si="79"/>
        <v>0</v>
      </c>
      <c r="AA68" s="66">
        <f t="shared" si="79"/>
        <v>0</v>
      </c>
      <c r="AB68" s="66">
        <f t="shared" si="79"/>
        <v>0</v>
      </c>
      <c r="AC68" s="66">
        <f t="shared" si="79"/>
        <v>0</v>
      </c>
      <c r="AD68" s="66">
        <f t="shared" si="79"/>
        <v>0</v>
      </c>
      <c r="AE68" s="66">
        <f t="shared" si="79"/>
        <v>0</v>
      </c>
      <c r="AF68" s="66">
        <f t="shared" si="79"/>
        <v>0</v>
      </c>
      <c r="AG68" s="66">
        <f t="shared" si="79"/>
        <v>0</v>
      </c>
      <c r="AH68" s="66">
        <f t="shared" si="79"/>
        <v>0</v>
      </c>
      <c r="AI68" s="66">
        <f t="shared" si="79"/>
        <v>0</v>
      </c>
      <c r="AJ68" s="66">
        <f t="shared" si="79"/>
        <v>0</v>
      </c>
      <c r="AK68" s="66">
        <f t="shared" si="79"/>
        <v>0</v>
      </c>
      <c r="AL68" s="66">
        <f t="shared" si="79"/>
        <v>0</v>
      </c>
      <c r="AM68" s="66">
        <f t="shared" ref="AM68:BN68" si="80">-AM33*$F$68</f>
        <v>0</v>
      </c>
      <c r="AN68" s="66">
        <f t="shared" si="80"/>
        <v>0</v>
      </c>
      <c r="AO68" s="66">
        <f t="shared" si="80"/>
        <v>0</v>
      </c>
      <c r="AP68" s="66">
        <f t="shared" si="80"/>
        <v>0</v>
      </c>
      <c r="AQ68" s="66">
        <f t="shared" si="80"/>
        <v>0</v>
      </c>
      <c r="AR68" s="66">
        <f t="shared" si="80"/>
        <v>0</v>
      </c>
      <c r="AS68" s="66">
        <f t="shared" si="80"/>
        <v>0</v>
      </c>
      <c r="AT68" s="66">
        <f t="shared" si="80"/>
        <v>0</v>
      </c>
      <c r="AU68" s="66">
        <f t="shared" si="80"/>
        <v>0</v>
      </c>
      <c r="AV68" s="66">
        <f t="shared" si="80"/>
        <v>0</v>
      </c>
      <c r="AW68" s="66">
        <f t="shared" si="80"/>
        <v>0</v>
      </c>
      <c r="AX68" s="66">
        <f t="shared" si="80"/>
        <v>0</v>
      </c>
      <c r="AY68" s="66">
        <f t="shared" si="80"/>
        <v>0</v>
      </c>
      <c r="AZ68" s="66">
        <f t="shared" si="80"/>
        <v>0</v>
      </c>
      <c r="BA68" s="66">
        <f t="shared" si="80"/>
        <v>0</v>
      </c>
      <c r="BB68" s="66">
        <f t="shared" si="80"/>
        <v>0</v>
      </c>
      <c r="BC68" s="66">
        <f t="shared" si="80"/>
        <v>0</v>
      </c>
      <c r="BD68" s="66">
        <f t="shared" si="80"/>
        <v>0</v>
      </c>
      <c r="BE68" s="66">
        <f t="shared" si="80"/>
        <v>0</v>
      </c>
      <c r="BF68" s="66">
        <f t="shared" si="80"/>
        <v>0</v>
      </c>
      <c r="BG68" s="66">
        <f t="shared" si="80"/>
        <v>0</v>
      </c>
      <c r="BH68" s="66">
        <f t="shared" si="80"/>
        <v>0</v>
      </c>
      <c r="BI68" s="66">
        <f t="shared" si="80"/>
        <v>0</v>
      </c>
      <c r="BJ68" s="66">
        <f t="shared" si="80"/>
        <v>0</v>
      </c>
      <c r="BK68" s="66">
        <f t="shared" si="80"/>
        <v>0</v>
      </c>
      <c r="BL68" s="66">
        <f t="shared" si="80"/>
        <v>0</v>
      </c>
      <c r="BM68" s="66">
        <f t="shared" si="80"/>
        <v>0</v>
      </c>
      <c r="BN68" s="66">
        <f t="shared" si="80"/>
        <v>0</v>
      </c>
      <c r="BO68" s="66"/>
      <c r="BP68" s="66">
        <f t="shared" si="70"/>
        <v>0</v>
      </c>
      <c r="BQ68" s="66">
        <f t="shared" si="71"/>
        <v>0</v>
      </c>
      <c r="BR68" s="66">
        <f t="shared" si="72"/>
        <v>0</v>
      </c>
      <c r="BS68" s="66">
        <f t="shared" si="73"/>
        <v>0</v>
      </c>
      <c r="BT68" s="66">
        <f t="shared" si="74"/>
        <v>0</v>
      </c>
    </row>
    <row r="69" spans="1:72" ht="18" customHeight="1" outlineLevel="1" x14ac:dyDescent="0.35">
      <c r="A69" s="27"/>
      <c r="B69" s="27"/>
      <c r="C69" s="63" t="str">
        <f t="shared" si="67"/>
        <v># Pay-per-use Produto/Serviço 2</v>
      </c>
      <c r="D69" s="27"/>
      <c r="E69" s="27"/>
      <c r="F69" s="68">
        <f>'1.Premissas Receitas'!C64</f>
        <v>1</v>
      </c>
      <c r="G69" s="66">
        <f t="shared" ref="G69:AL69" si="81">-G34*$F$69</f>
        <v>0</v>
      </c>
      <c r="H69" s="66">
        <f t="shared" si="81"/>
        <v>0</v>
      </c>
      <c r="I69" s="66">
        <f t="shared" si="81"/>
        <v>0</v>
      </c>
      <c r="J69" s="66">
        <f t="shared" si="81"/>
        <v>0</v>
      </c>
      <c r="K69" s="66">
        <f t="shared" si="81"/>
        <v>0</v>
      </c>
      <c r="L69" s="66">
        <f t="shared" si="81"/>
        <v>0</v>
      </c>
      <c r="M69" s="66">
        <f t="shared" si="81"/>
        <v>0</v>
      </c>
      <c r="N69" s="66">
        <f t="shared" si="81"/>
        <v>0</v>
      </c>
      <c r="O69" s="66">
        <f t="shared" si="81"/>
        <v>0</v>
      </c>
      <c r="P69" s="66">
        <f t="shared" si="81"/>
        <v>0</v>
      </c>
      <c r="Q69" s="66">
        <f t="shared" si="81"/>
        <v>0</v>
      </c>
      <c r="R69" s="66">
        <f t="shared" si="81"/>
        <v>0</v>
      </c>
      <c r="S69" s="66">
        <f t="shared" si="81"/>
        <v>0</v>
      </c>
      <c r="T69" s="66">
        <f t="shared" si="81"/>
        <v>0</v>
      </c>
      <c r="U69" s="66">
        <f t="shared" si="81"/>
        <v>0</v>
      </c>
      <c r="V69" s="66">
        <f t="shared" si="81"/>
        <v>0</v>
      </c>
      <c r="W69" s="66">
        <f t="shared" si="81"/>
        <v>0</v>
      </c>
      <c r="X69" s="66">
        <f t="shared" si="81"/>
        <v>0</v>
      </c>
      <c r="Y69" s="66">
        <f t="shared" si="81"/>
        <v>0</v>
      </c>
      <c r="Z69" s="66">
        <f t="shared" si="81"/>
        <v>0</v>
      </c>
      <c r="AA69" s="66">
        <f t="shared" si="81"/>
        <v>0</v>
      </c>
      <c r="AB69" s="66">
        <f t="shared" si="81"/>
        <v>0</v>
      </c>
      <c r="AC69" s="66">
        <f t="shared" si="81"/>
        <v>0</v>
      </c>
      <c r="AD69" s="66">
        <f t="shared" si="81"/>
        <v>0</v>
      </c>
      <c r="AE69" s="66">
        <f t="shared" si="81"/>
        <v>0</v>
      </c>
      <c r="AF69" s="66">
        <f t="shared" si="81"/>
        <v>0</v>
      </c>
      <c r="AG69" s="66">
        <f t="shared" si="81"/>
        <v>0</v>
      </c>
      <c r="AH69" s="66">
        <f t="shared" si="81"/>
        <v>0</v>
      </c>
      <c r="AI69" s="66">
        <f t="shared" si="81"/>
        <v>0</v>
      </c>
      <c r="AJ69" s="66">
        <f t="shared" si="81"/>
        <v>0</v>
      </c>
      <c r="AK69" s="66">
        <f t="shared" si="81"/>
        <v>0</v>
      </c>
      <c r="AL69" s="66">
        <f t="shared" si="81"/>
        <v>0</v>
      </c>
      <c r="AM69" s="66">
        <f t="shared" ref="AM69:BN69" si="82">-AM34*$F$69</f>
        <v>0</v>
      </c>
      <c r="AN69" s="66">
        <f t="shared" si="82"/>
        <v>0</v>
      </c>
      <c r="AO69" s="66">
        <f t="shared" si="82"/>
        <v>0</v>
      </c>
      <c r="AP69" s="66">
        <f t="shared" si="82"/>
        <v>0</v>
      </c>
      <c r="AQ69" s="66">
        <f t="shared" si="82"/>
        <v>0</v>
      </c>
      <c r="AR69" s="66">
        <f t="shared" si="82"/>
        <v>0</v>
      </c>
      <c r="AS69" s="66">
        <f t="shared" si="82"/>
        <v>0</v>
      </c>
      <c r="AT69" s="66">
        <f t="shared" si="82"/>
        <v>0</v>
      </c>
      <c r="AU69" s="66">
        <f t="shared" si="82"/>
        <v>0</v>
      </c>
      <c r="AV69" s="66">
        <f t="shared" si="82"/>
        <v>0</v>
      </c>
      <c r="AW69" s="66">
        <f t="shared" si="82"/>
        <v>0</v>
      </c>
      <c r="AX69" s="66">
        <f t="shared" si="82"/>
        <v>0</v>
      </c>
      <c r="AY69" s="66">
        <f t="shared" si="82"/>
        <v>0</v>
      </c>
      <c r="AZ69" s="66">
        <f t="shared" si="82"/>
        <v>0</v>
      </c>
      <c r="BA69" s="66">
        <f t="shared" si="82"/>
        <v>0</v>
      </c>
      <c r="BB69" s="66">
        <f t="shared" si="82"/>
        <v>0</v>
      </c>
      <c r="BC69" s="66">
        <f t="shared" si="82"/>
        <v>0</v>
      </c>
      <c r="BD69" s="66">
        <f t="shared" si="82"/>
        <v>0</v>
      </c>
      <c r="BE69" s="66">
        <f t="shared" si="82"/>
        <v>0</v>
      </c>
      <c r="BF69" s="66">
        <f t="shared" si="82"/>
        <v>0</v>
      </c>
      <c r="BG69" s="66">
        <f t="shared" si="82"/>
        <v>0</v>
      </c>
      <c r="BH69" s="66">
        <f t="shared" si="82"/>
        <v>0</v>
      </c>
      <c r="BI69" s="66">
        <f t="shared" si="82"/>
        <v>0</v>
      </c>
      <c r="BJ69" s="66">
        <f t="shared" si="82"/>
        <v>0</v>
      </c>
      <c r="BK69" s="66">
        <f t="shared" si="82"/>
        <v>0</v>
      </c>
      <c r="BL69" s="66">
        <f t="shared" si="82"/>
        <v>0</v>
      </c>
      <c r="BM69" s="66">
        <f t="shared" si="82"/>
        <v>0</v>
      </c>
      <c r="BN69" s="66">
        <f t="shared" si="82"/>
        <v>0</v>
      </c>
      <c r="BO69" s="66"/>
      <c r="BP69" s="66">
        <f t="shared" si="70"/>
        <v>0</v>
      </c>
      <c r="BQ69" s="66">
        <f t="shared" si="71"/>
        <v>0</v>
      </c>
      <c r="BR69" s="66">
        <f t="shared" si="72"/>
        <v>0</v>
      </c>
      <c r="BS69" s="66">
        <f t="shared" si="73"/>
        <v>0</v>
      </c>
      <c r="BT69" s="66">
        <f t="shared" si="74"/>
        <v>0</v>
      </c>
    </row>
    <row r="70" spans="1:72" ht="18" customHeight="1" outlineLevel="1" x14ac:dyDescent="0.35">
      <c r="A70" s="27"/>
      <c r="B70" s="27"/>
      <c r="C70" s="63" t="str">
        <f t="shared" si="67"/>
        <v># Pay-per-use Produto/Serviço 3</v>
      </c>
      <c r="D70" s="27"/>
      <c r="E70" s="27"/>
      <c r="F70" s="68">
        <f>'1.Premissas Receitas'!C65</f>
        <v>1</v>
      </c>
      <c r="G70" s="66">
        <f t="shared" ref="G70:AL70" si="83">-G35*$F$70</f>
        <v>0</v>
      </c>
      <c r="H70" s="66">
        <f t="shared" si="83"/>
        <v>0</v>
      </c>
      <c r="I70" s="66">
        <f t="shared" si="83"/>
        <v>0</v>
      </c>
      <c r="J70" s="66">
        <f t="shared" si="83"/>
        <v>0</v>
      </c>
      <c r="K70" s="66">
        <f t="shared" si="83"/>
        <v>0</v>
      </c>
      <c r="L70" s="66">
        <f t="shared" si="83"/>
        <v>0</v>
      </c>
      <c r="M70" s="66">
        <f t="shared" si="83"/>
        <v>0</v>
      </c>
      <c r="N70" s="66">
        <f t="shared" si="83"/>
        <v>0</v>
      </c>
      <c r="O70" s="66">
        <f t="shared" si="83"/>
        <v>0</v>
      </c>
      <c r="P70" s="66">
        <f t="shared" si="83"/>
        <v>0</v>
      </c>
      <c r="Q70" s="66">
        <f t="shared" si="83"/>
        <v>0</v>
      </c>
      <c r="R70" s="66">
        <f t="shared" si="83"/>
        <v>0</v>
      </c>
      <c r="S70" s="66">
        <f t="shared" si="83"/>
        <v>0</v>
      </c>
      <c r="T70" s="66">
        <f t="shared" si="83"/>
        <v>0</v>
      </c>
      <c r="U70" s="66">
        <f t="shared" si="83"/>
        <v>0</v>
      </c>
      <c r="V70" s="66">
        <f t="shared" si="83"/>
        <v>0</v>
      </c>
      <c r="W70" s="66">
        <f t="shared" si="83"/>
        <v>0</v>
      </c>
      <c r="X70" s="66">
        <f t="shared" si="83"/>
        <v>0</v>
      </c>
      <c r="Y70" s="66">
        <f t="shared" si="83"/>
        <v>0</v>
      </c>
      <c r="Z70" s="66">
        <f t="shared" si="83"/>
        <v>0</v>
      </c>
      <c r="AA70" s="66">
        <f t="shared" si="83"/>
        <v>0</v>
      </c>
      <c r="AB70" s="66">
        <f t="shared" si="83"/>
        <v>0</v>
      </c>
      <c r="AC70" s="66">
        <f t="shared" si="83"/>
        <v>0</v>
      </c>
      <c r="AD70" s="66">
        <f t="shared" si="83"/>
        <v>0</v>
      </c>
      <c r="AE70" s="66">
        <f t="shared" si="83"/>
        <v>0</v>
      </c>
      <c r="AF70" s="66">
        <f t="shared" si="83"/>
        <v>0</v>
      </c>
      <c r="AG70" s="66">
        <f t="shared" si="83"/>
        <v>0</v>
      </c>
      <c r="AH70" s="66">
        <f t="shared" si="83"/>
        <v>0</v>
      </c>
      <c r="AI70" s="66">
        <f t="shared" si="83"/>
        <v>0</v>
      </c>
      <c r="AJ70" s="66">
        <f t="shared" si="83"/>
        <v>0</v>
      </c>
      <c r="AK70" s="66">
        <f t="shared" si="83"/>
        <v>0</v>
      </c>
      <c r="AL70" s="66">
        <f t="shared" si="83"/>
        <v>0</v>
      </c>
      <c r="AM70" s="66">
        <f t="shared" ref="AM70:BN70" si="84">-AM35*$F$70</f>
        <v>0</v>
      </c>
      <c r="AN70" s="66">
        <f t="shared" si="84"/>
        <v>0</v>
      </c>
      <c r="AO70" s="66">
        <f t="shared" si="84"/>
        <v>0</v>
      </c>
      <c r="AP70" s="66">
        <f t="shared" si="84"/>
        <v>0</v>
      </c>
      <c r="AQ70" s="66">
        <f t="shared" si="84"/>
        <v>0</v>
      </c>
      <c r="AR70" s="66">
        <f t="shared" si="84"/>
        <v>0</v>
      </c>
      <c r="AS70" s="66">
        <f t="shared" si="84"/>
        <v>0</v>
      </c>
      <c r="AT70" s="66">
        <f t="shared" si="84"/>
        <v>0</v>
      </c>
      <c r="AU70" s="66">
        <f t="shared" si="84"/>
        <v>0</v>
      </c>
      <c r="AV70" s="66">
        <f t="shared" si="84"/>
        <v>0</v>
      </c>
      <c r="AW70" s="66">
        <f t="shared" si="84"/>
        <v>0</v>
      </c>
      <c r="AX70" s="66">
        <f t="shared" si="84"/>
        <v>0</v>
      </c>
      <c r="AY70" s="66">
        <f t="shared" si="84"/>
        <v>0</v>
      </c>
      <c r="AZ70" s="66">
        <f t="shared" si="84"/>
        <v>0</v>
      </c>
      <c r="BA70" s="66">
        <f t="shared" si="84"/>
        <v>0</v>
      </c>
      <c r="BB70" s="66">
        <f t="shared" si="84"/>
        <v>0</v>
      </c>
      <c r="BC70" s="66">
        <f t="shared" si="84"/>
        <v>0</v>
      </c>
      <c r="BD70" s="66">
        <f t="shared" si="84"/>
        <v>0</v>
      </c>
      <c r="BE70" s="66">
        <f t="shared" si="84"/>
        <v>0</v>
      </c>
      <c r="BF70" s="66">
        <f t="shared" si="84"/>
        <v>0</v>
      </c>
      <c r="BG70" s="66">
        <f t="shared" si="84"/>
        <v>0</v>
      </c>
      <c r="BH70" s="66">
        <f t="shared" si="84"/>
        <v>0</v>
      </c>
      <c r="BI70" s="66">
        <f t="shared" si="84"/>
        <v>0</v>
      </c>
      <c r="BJ70" s="66">
        <f t="shared" si="84"/>
        <v>0</v>
      </c>
      <c r="BK70" s="66">
        <f t="shared" si="84"/>
        <v>0</v>
      </c>
      <c r="BL70" s="66">
        <f t="shared" si="84"/>
        <v>0</v>
      </c>
      <c r="BM70" s="66">
        <f t="shared" si="84"/>
        <v>0</v>
      </c>
      <c r="BN70" s="66">
        <f t="shared" si="84"/>
        <v>0</v>
      </c>
      <c r="BO70" s="66"/>
      <c r="BP70" s="66">
        <f t="shared" si="70"/>
        <v>0</v>
      </c>
      <c r="BQ70" s="66">
        <f t="shared" si="71"/>
        <v>0</v>
      </c>
      <c r="BR70" s="66">
        <f t="shared" si="72"/>
        <v>0</v>
      </c>
      <c r="BS70" s="66">
        <f t="shared" si="73"/>
        <v>0</v>
      </c>
      <c r="BT70" s="66">
        <f t="shared" si="74"/>
        <v>0</v>
      </c>
    </row>
    <row r="71" spans="1:72" ht="18" customHeight="1" x14ac:dyDescent="0.35">
      <c r="A71" s="27"/>
      <c r="B71" s="64" t="s">
        <v>160</v>
      </c>
      <c r="C71" s="64"/>
      <c r="D71" s="64"/>
      <c r="E71" s="64"/>
      <c r="F71" s="64"/>
      <c r="G71" s="69">
        <f t="shared" ref="G71:AL71" si="85">SUM(G64:G70)</f>
        <v>0</v>
      </c>
      <c r="H71" s="69">
        <f t="shared" si="85"/>
        <v>-23.189999999999998</v>
      </c>
      <c r="I71" s="69">
        <f t="shared" si="85"/>
        <v>-23.8857</v>
      </c>
      <c r="J71" s="69">
        <f t="shared" si="85"/>
        <v>-24.602271000000002</v>
      </c>
      <c r="K71" s="69">
        <f t="shared" si="85"/>
        <v>-25.34033913</v>
      </c>
      <c r="L71" s="69">
        <f t="shared" si="85"/>
        <v>-26.100549303899999</v>
      </c>
      <c r="M71" s="69">
        <f t="shared" si="85"/>
        <v>-26.883565783016998</v>
      </c>
      <c r="N71" s="69">
        <f t="shared" si="85"/>
        <v>-27.690072756507512</v>
      </c>
      <c r="O71" s="69">
        <f t="shared" si="85"/>
        <v>-28.520774939202735</v>
      </c>
      <c r="P71" s="69">
        <f t="shared" si="85"/>
        <v>-29.376398187378815</v>
      </c>
      <c r="Q71" s="69">
        <f t="shared" si="85"/>
        <v>-30.257690133000182</v>
      </c>
      <c r="R71" s="69">
        <f t="shared" si="85"/>
        <v>-31.165420836990187</v>
      </c>
      <c r="S71" s="69">
        <f t="shared" si="85"/>
        <v>-32.100383462099899</v>
      </c>
      <c r="T71" s="69">
        <f t="shared" si="85"/>
        <v>-44.94053684693985</v>
      </c>
      <c r="U71" s="69">
        <f t="shared" si="85"/>
        <v>-46.288752952348048</v>
      </c>
      <c r="V71" s="69">
        <f t="shared" si="85"/>
        <v>-47.677415540918489</v>
      </c>
      <c r="W71" s="69">
        <f t="shared" si="85"/>
        <v>-49.10773800714604</v>
      </c>
      <c r="X71" s="69">
        <f t="shared" si="85"/>
        <v>-50.580970147360418</v>
      </c>
      <c r="Y71" s="69">
        <f t="shared" si="85"/>
        <v>-52.098399251781224</v>
      </c>
      <c r="Z71" s="69">
        <f t="shared" si="85"/>
        <v>-53.661351229334656</v>
      </c>
      <c r="AA71" s="69">
        <f t="shared" si="85"/>
        <v>-55.271191766214699</v>
      </c>
      <c r="AB71" s="69">
        <f t="shared" si="85"/>
        <v>-56.929327519201138</v>
      </c>
      <c r="AC71" s="69">
        <f t="shared" si="85"/>
        <v>-58.637207344777167</v>
      </c>
      <c r="AD71" s="69">
        <f t="shared" si="85"/>
        <v>-60.396323565120483</v>
      </c>
      <c r="AE71" s="69">
        <f t="shared" si="85"/>
        <v>-62.208213272074104</v>
      </c>
      <c r="AF71" s="69">
        <f t="shared" si="85"/>
        <v>-80.870677253696329</v>
      </c>
      <c r="AG71" s="69">
        <f t="shared" si="85"/>
        <v>-83.296797571307224</v>
      </c>
      <c r="AH71" s="69">
        <f t="shared" si="85"/>
        <v>-85.795701498446448</v>
      </c>
      <c r="AI71" s="69">
        <f t="shared" si="85"/>
        <v>-88.369572543399826</v>
      </c>
      <c r="AJ71" s="69">
        <f t="shared" si="85"/>
        <v>-91.020659719701825</v>
      </c>
      <c r="AK71" s="69">
        <f t="shared" si="85"/>
        <v>-93.751279511292893</v>
      </c>
      <c r="AL71" s="69">
        <f t="shared" si="85"/>
        <v>-96.563817896631662</v>
      </c>
      <c r="AM71" s="69">
        <f t="shared" ref="AM71:BN71" si="86">SUM(AM64:AM70)</f>
        <v>-99.460732433530623</v>
      </c>
      <c r="AN71" s="69">
        <f t="shared" si="86"/>
        <v>-102.44455440653653</v>
      </c>
      <c r="AO71" s="69">
        <f t="shared" si="86"/>
        <v>-105.51789103873263</v>
      </c>
      <c r="AP71" s="69">
        <f t="shared" si="86"/>
        <v>-108.68342776989462</v>
      </c>
      <c r="AQ71" s="69">
        <f t="shared" si="86"/>
        <v>-111.94393060299146</v>
      </c>
      <c r="AR71" s="69">
        <f t="shared" si="86"/>
        <v>-134.33271672358973</v>
      </c>
      <c r="AS71" s="69">
        <f t="shared" si="86"/>
        <v>-138.36269822529744</v>
      </c>
      <c r="AT71" s="69">
        <f t="shared" si="86"/>
        <v>-142.51357917205635</v>
      </c>
      <c r="AU71" s="69">
        <f t="shared" si="86"/>
        <v>-146.78898654721803</v>
      </c>
      <c r="AV71" s="69">
        <f t="shared" si="86"/>
        <v>-151.19265614363457</v>
      </c>
      <c r="AW71" s="69">
        <f t="shared" si="86"/>
        <v>-155.7284358279436</v>
      </c>
      <c r="AX71" s="69">
        <f t="shared" si="86"/>
        <v>-160.40028890278194</v>
      </c>
      <c r="AY71" s="69">
        <f t="shared" si="86"/>
        <v>-165.21229756986537</v>
      </c>
      <c r="AZ71" s="69">
        <f t="shared" si="86"/>
        <v>-170.16866649696135</v>
      </c>
      <c r="BA71" s="69">
        <f t="shared" si="86"/>
        <v>-175.27372649187018</v>
      </c>
      <c r="BB71" s="69">
        <f t="shared" si="86"/>
        <v>-180.53193828662626</v>
      </c>
      <c r="BC71" s="69">
        <f t="shared" si="86"/>
        <v>-185.94789643522506</v>
      </c>
      <c r="BD71" s="69">
        <f t="shared" si="86"/>
        <v>-213.84008090050884</v>
      </c>
      <c r="BE71" s="69">
        <f t="shared" si="86"/>
        <v>-220.25528332752407</v>
      </c>
      <c r="BF71" s="69">
        <f t="shared" si="86"/>
        <v>-226.8629418273498</v>
      </c>
      <c r="BG71" s="69">
        <f t="shared" si="86"/>
        <v>-233.6688300821703</v>
      </c>
      <c r="BH71" s="69">
        <f t="shared" si="86"/>
        <v>-240.67889498463541</v>
      </c>
      <c r="BI71" s="69">
        <f t="shared" si="86"/>
        <v>-247.89926183417447</v>
      </c>
      <c r="BJ71" s="69">
        <f t="shared" si="86"/>
        <v>-255.33623968919972</v>
      </c>
      <c r="BK71" s="69">
        <f t="shared" si="86"/>
        <v>-262.99632687987571</v>
      </c>
      <c r="BL71" s="69">
        <f t="shared" si="86"/>
        <v>-270.88621668627195</v>
      </c>
      <c r="BM71" s="69">
        <f t="shared" si="86"/>
        <v>-279.01280318686014</v>
      </c>
      <c r="BN71" s="69">
        <f t="shared" si="86"/>
        <v>0</v>
      </c>
      <c r="BO71" s="66"/>
      <c r="BP71" s="69">
        <f>SUM(BP64:BP70)</f>
        <v>-296.24431432854755</v>
      </c>
      <c r="BQ71" s="69">
        <f>SUM(BQ64:BQ70)</f>
        <v>-574.09997946436056</v>
      </c>
      <c r="BR71" s="69">
        <f>SUM(BR64:BR70)</f>
        <v>-1095.142488369539</v>
      </c>
      <c r="BS71" s="69">
        <f>SUM(BS64:BS70)</f>
        <v>-1827.7087827735249</v>
      </c>
      <c r="BT71" s="69">
        <f>SUM(BT64:BT70)</f>
        <v>-2630.5610118600989</v>
      </c>
    </row>
    <row r="72" spans="1:72" ht="18" customHeight="1" x14ac:dyDescent="0.3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</row>
    <row r="73" spans="1:72" ht="15.75" customHeight="1" x14ac:dyDescent="0.35">
      <c r="A73" s="40"/>
      <c r="B73" s="64" t="s">
        <v>161</v>
      </c>
      <c r="C73" s="78"/>
      <c r="D73" s="78"/>
      <c r="E73" s="78"/>
      <c r="F73" s="78"/>
      <c r="G73" s="79">
        <f t="shared" ref="G73:AL73" si="87">G61+G71</f>
        <v>31437.666666666672</v>
      </c>
      <c r="H73" s="79">
        <f t="shared" si="87"/>
        <v>63795.273333333345</v>
      </c>
      <c r="I73" s="79">
        <f t="shared" si="87"/>
        <v>97146.798200000005</v>
      </c>
      <c r="J73" s="79">
        <f t="shared" si="87"/>
        <v>131498.86881266668</v>
      </c>
      <c r="K73" s="79">
        <f t="shared" si="87"/>
        <v>166881.50154371336</v>
      </c>
      <c r="L73" s="79">
        <f t="shared" si="87"/>
        <v>203325.61325669143</v>
      </c>
      <c r="M73" s="79">
        <f t="shared" si="87"/>
        <v>240863.04832105883</v>
      </c>
      <c r="N73" s="79">
        <f t="shared" si="87"/>
        <v>279526.60643735726</v>
      </c>
      <c r="O73" s="79">
        <f t="shared" si="87"/>
        <v>319350.07129714463</v>
      </c>
      <c r="P73" s="79">
        <f t="shared" si="87"/>
        <v>360368.24010272569</v>
      </c>
      <c r="Q73" s="79">
        <f t="shared" si="87"/>
        <v>402616.95397247409</v>
      </c>
      <c r="R73" s="79">
        <f t="shared" si="87"/>
        <v>446133.12925831496</v>
      </c>
      <c r="S73" s="79">
        <f t="shared" si="87"/>
        <v>507056.11051885266</v>
      </c>
      <c r="T73" s="79">
        <f t="shared" si="87"/>
        <v>569794.90407532547</v>
      </c>
      <c r="U73" s="79">
        <f t="shared" si="87"/>
        <v>634427.73858037358</v>
      </c>
      <c r="V73" s="79">
        <f t="shared" si="87"/>
        <v>700999.55812057306</v>
      </c>
      <c r="W73" s="79">
        <f t="shared" si="87"/>
        <v>769568.5322469786</v>
      </c>
      <c r="X73" s="79">
        <f t="shared" si="87"/>
        <v>840194.57559717621</v>
      </c>
      <c r="Y73" s="79">
        <f t="shared" si="87"/>
        <v>912939.40024787968</v>
      </c>
      <c r="Z73" s="79">
        <f t="shared" si="87"/>
        <v>987866.56963810441</v>
      </c>
      <c r="AA73" s="79">
        <f t="shared" si="87"/>
        <v>1065041.5541100358</v>
      </c>
      <c r="AB73" s="79">
        <f t="shared" si="87"/>
        <v>1144531.7881161252</v>
      </c>
      <c r="AC73" s="79">
        <f t="shared" si="87"/>
        <v>1226406.7291423969</v>
      </c>
      <c r="AD73" s="79">
        <f t="shared" si="87"/>
        <v>1310737.9183994571</v>
      </c>
      <c r="AE73" s="79">
        <f t="shared" si="87"/>
        <v>1420368.9393950149</v>
      </c>
      <c r="AF73" s="79">
        <f t="shared" si="87"/>
        <v>1533272.0948028557</v>
      </c>
      <c r="AG73" s="79">
        <f t="shared" si="87"/>
        <v>1649579.1410905153</v>
      </c>
      <c r="AH73" s="79">
        <f t="shared" si="87"/>
        <v>1769375.3987668047</v>
      </c>
      <c r="AI73" s="79">
        <f t="shared" si="87"/>
        <v>1892765.5441733827</v>
      </c>
      <c r="AJ73" s="79">
        <f t="shared" si="87"/>
        <v>2019857.3939421582</v>
      </c>
      <c r="AK73" s="79">
        <f t="shared" si="87"/>
        <v>2150761.9992039963</v>
      </c>
      <c r="AL73" s="79">
        <f t="shared" si="87"/>
        <v>2285593.7426236905</v>
      </c>
      <c r="AM73" s="79">
        <f t="shared" ref="AM73:BN73" si="88">AM61+AM71</f>
        <v>2424470.4383459752</v>
      </c>
      <c r="AN73" s="79">
        <f t="shared" si="88"/>
        <v>2567513.4349399288</v>
      </c>
      <c r="AO73" s="79">
        <f t="shared" si="88"/>
        <v>2714847.7214317005</v>
      </c>
      <c r="AP73" s="79">
        <f t="shared" si="88"/>
        <v>2866602.0365182254</v>
      </c>
      <c r="AQ73" s="79">
        <f t="shared" si="88"/>
        <v>3048707.7527632997</v>
      </c>
      <c r="AR73" s="79">
        <f t="shared" si="88"/>
        <v>3236257.6100275242</v>
      </c>
      <c r="AS73" s="79">
        <f t="shared" si="88"/>
        <v>3429452.9934778772</v>
      </c>
      <c r="AT73" s="79">
        <f t="shared" si="88"/>
        <v>3628444.238431741</v>
      </c>
      <c r="AU73" s="79">
        <f t="shared" si="88"/>
        <v>3833405.2207342205</v>
      </c>
      <c r="AV73" s="79">
        <f t="shared" si="88"/>
        <v>4044515.0325057749</v>
      </c>
      <c r="AW73" s="79">
        <f t="shared" si="88"/>
        <v>4261958.1386304749</v>
      </c>
      <c r="AX73" s="79">
        <f t="shared" si="88"/>
        <v>4485924.5379389171</v>
      </c>
      <c r="AY73" s="79">
        <f t="shared" si="88"/>
        <v>4716609.9292266127</v>
      </c>
      <c r="AZ73" s="79">
        <f t="shared" si="88"/>
        <v>4954215.882252939</v>
      </c>
      <c r="BA73" s="79">
        <f t="shared" si="88"/>
        <v>5198950.0138700539</v>
      </c>
      <c r="BB73" s="79">
        <f t="shared" si="88"/>
        <v>5451026.1694356836</v>
      </c>
      <c r="BC73" s="79">
        <f t="shared" si="88"/>
        <v>5740914.3793215724</v>
      </c>
      <c r="BD73" s="79">
        <f t="shared" si="88"/>
        <v>6039476.921756465</v>
      </c>
      <c r="BE73" s="79">
        <f t="shared" si="88"/>
        <v>6347018.6542119766</v>
      </c>
      <c r="BF73" s="79">
        <f t="shared" si="88"/>
        <v>6663786.6386411553</v>
      </c>
      <c r="BG73" s="79">
        <f t="shared" si="88"/>
        <v>6990057.6626032097</v>
      </c>
      <c r="BH73" s="79">
        <f t="shared" si="88"/>
        <v>7326116.817284124</v>
      </c>
      <c r="BI73" s="79">
        <f t="shared" si="88"/>
        <v>7672257.7466054661</v>
      </c>
      <c r="BJ73" s="79">
        <f t="shared" si="88"/>
        <v>8028782.9038064489</v>
      </c>
      <c r="BK73" s="79">
        <f t="shared" si="88"/>
        <v>8396003.8157234583</v>
      </c>
      <c r="BL73" s="79">
        <f t="shared" si="88"/>
        <v>8774241.3549979795</v>
      </c>
      <c r="BM73" s="79">
        <f t="shared" si="88"/>
        <v>9163826.0204507373</v>
      </c>
      <c r="BN73" s="79">
        <f t="shared" si="88"/>
        <v>9565385.6090543587</v>
      </c>
      <c r="BO73" s="40"/>
      <c r="BP73" s="79">
        <f>BP61+BP71</f>
        <v>445868.05036482331</v>
      </c>
      <c r="BQ73" s="79">
        <f>BQ61+BQ71</f>
        <v>1249300.2985203951</v>
      </c>
      <c r="BR73" s="79">
        <f>BR61+BR71</f>
        <v>2804691.6612344626</v>
      </c>
      <c r="BS73" s="79">
        <f>BS61+BS71</f>
        <v>5388455.076368032</v>
      </c>
      <c r="BT73" s="79">
        <f>BT61+BT71</f>
        <v>9501831.1318193376</v>
      </c>
    </row>
    <row r="74" spans="1:72" ht="15.75" customHeight="1" x14ac:dyDescent="0.3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</row>
    <row r="75" spans="1:72" ht="15.75" customHeight="1" x14ac:dyDescent="0.35">
      <c r="A75" s="18" t="s">
        <v>92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20"/>
      <c r="BP75" s="18"/>
      <c r="BQ75" s="18"/>
      <c r="BR75" s="18"/>
      <c r="BS75" s="18"/>
      <c r="BT75" s="18"/>
    </row>
    <row r="76" spans="1:72" ht="15.75" customHeight="1" x14ac:dyDescent="0.3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</row>
    <row r="77" spans="1:72" ht="15.75" customHeight="1" x14ac:dyDescent="0.35">
      <c r="A77" s="16"/>
      <c r="B77" s="27" t="s">
        <v>92</v>
      </c>
      <c r="C77" s="16"/>
      <c r="D77" s="16"/>
      <c r="E77" s="16"/>
      <c r="F77" s="16"/>
      <c r="G77" s="80">
        <f>IF('1.Premissas Receitas'!$B$8=1,0.18,IF('1.Premissas Receitas'!$B$8=2,0.05,0.1))*G61</f>
        <v>1571.8833333333337</v>
      </c>
      <c r="H77" s="80">
        <f>IF('1.Premissas Receitas'!$B$8=1,0.18,IF('1.Premissas Receitas'!$B$8=2,0.05,0.1))*H61</f>
        <v>3190.9231666666674</v>
      </c>
      <c r="I77" s="80">
        <f>IF('1.Premissas Receitas'!$B$8=1,0.18,IF('1.Premissas Receitas'!$B$8=2,0.05,0.1))*I61</f>
        <v>4858.5341950000002</v>
      </c>
      <c r="J77" s="80">
        <f>IF('1.Premissas Receitas'!$B$8=1,0.18,IF('1.Premissas Receitas'!$B$8=2,0.05,0.1))*J61</f>
        <v>6576.173554183335</v>
      </c>
      <c r="K77" s="80">
        <f>IF('1.Premissas Receitas'!$B$8=1,0.18,IF('1.Premissas Receitas'!$B$8=2,0.05,0.1))*K61</f>
        <v>8345.3420941421682</v>
      </c>
      <c r="L77" s="80">
        <f>IF('1.Premissas Receitas'!$B$8=1,0.18,IF('1.Premissas Receitas'!$B$8=2,0.05,0.1))*L61</f>
        <v>10167.585690299768</v>
      </c>
      <c r="M77" s="80">
        <f>IF('1.Premissas Receitas'!$B$8=1,0.18,IF('1.Premissas Receitas'!$B$8=2,0.05,0.1))*M61</f>
        <v>12044.496594342092</v>
      </c>
      <c r="N77" s="80">
        <f>IF('1.Premissas Receitas'!$B$8=1,0.18,IF('1.Premissas Receitas'!$B$8=2,0.05,0.1))*N61</f>
        <v>13977.714825505689</v>
      </c>
      <c r="O77" s="80">
        <f>IF('1.Premissas Receitas'!$B$8=1,0.18,IF('1.Premissas Receitas'!$B$8=2,0.05,0.1))*O61</f>
        <v>15968.929603604192</v>
      </c>
      <c r="P77" s="80">
        <f>IF('1.Premissas Receitas'!$B$8=1,0.18,IF('1.Premissas Receitas'!$B$8=2,0.05,0.1))*P61</f>
        <v>18019.880825045653</v>
      </c>
      <c r="Q77" s="80">
        <f>IF('1.Premissas Receitas'!$B$8=1,0.18,IF('1.Premissas Receitas'!$B$8=2,0.05,0.1))*Q61</f>
        <v>20132.360583130358</v>
      </c>
      <c r="R77" s="80">
        <f>IF('1.Premissas Receitas'!$B$8=1,0.18,IF('1.Premissas Receitas'!$B$8=2,0.05,0.1))*R61</f>
        <v>22308.2147339576</v>
      </c>
      <c r="S77" s="80">
        <f>IF('1.Premissas Receitas'!$C$8=1,0.18,IF('1.Premissas Receitas'!$C$8=2,0.05,0.1))*S61</f>
        <v>25354.410545115737</v>
      </c>
      <c r="T77" s="80">
        <f>IF('1.Premissas Receitas'!$C$8=1,0.18,IF('1.Premissas Receitas'!$C$8=2,0.05,0.1))*T61</f>
        <v>28491.992230608623</v>
      </c>
      <c r="U77" s="80">
        <f>IF('1.Premissas Receitas'!$C$8=1,0.18,IF('1.Premissas Receitas'!$C$8=2,0.05,0.1))*U61</f>
        <v>31723.701366666297</v>
      </c>
      <c r="V77" s="80">
        <f>IF('1.Premissas Receitas'!$C$8=1,0.18,IF('1.Premissas Receitas'!$C$8=2,0.05,0.1))*V61</f>
        <v>35052.361776805701</v>
      </c>
      <c r="W77" s="80">
        <f>IF('1.Premissas Receitas'!$C$8=1,0.18,IF('1.Premissas Receitas'!$C$8=2,0.05,0.1))*W61</f>
        <v>38480.881999249286</v>
      </c>
      <c r="X77" s="80">
        <f>IF('1.Premissas Receitas'!$C$8=1,0.18,IF('1.Premissas Receitas'!$C$8=2,0.05,0.1))*X61</f>
        <v>42012.257828366186</v>
      </c>
      <c r="Y77" s="80">
        <f>IF('1.Premissas Receitas'!$C$8=1,0.18,IF('1.Premissas Receitas'!$C$8=2,0.05,0.1))*Y61</f>
        <v>45649.574932356576</v>
      </c>
      <c r="Z77" s="80">
        <f>IF('1.Premissas Receitas'!$C$8=1,0.18,IF('1.Premissas Receitas'!$C$8=2,0.05,0.1))*Z61</f>
        <v>49396.01154946669</v>
      </c>
      <c r="AA77" s="80">
        <f>IF('1.Premissas Receitas'!$C$8=1,0.18,IF('1.Premissas Receitas'!$C$8=2,0.05,0.1))*AA61</f>
        <v>53254.841265090101</v>
      </c>
      <c r="AB77" s="80">
        <f>IF('1.Premissas Receitas'!$C$8=1,0.18,IF('1.Premissas Receitas'!$C$8=2,0.05,0.1))*AB61</f>
        <v>57229.435872182221</v>
      </c>
      <c r="AC77" s="80">
        <f>IF('1.Premissas Receitas'!$C$8=1,0.18,IF('1.Premissas Receitas'!$C$8=2,0.05,0.1))*AC61</f>
        <v>61323.268317487091</v>
      </c>
      <c r="AD77" s="80">
        <f>IF('1.Premissas Receitas'!$C$8=1,0.18,IF('1.Premissas Receitas'!$C$8=2,0.05,0.1))*AD61</f>
        <v>65539.915736151117</v>
      </c>
      <c r="AE77" s="80">
        <f>IF('1.Premissas Receitas'!$D$8=1,0.18,IF('1.Premissas Receitas'!$D$8=2,0.05,0.1))*AE61</f>
        <v>71021.55738041435</v>
      </c>
      <c r="AF77" s="80">
        <f>IF('1.Premissas Receitas'!$D$8=1,0.18,IF('1.Premissas Receitas'!$D$8=2,0.05,0.1))*AF61</f>
        <v>76667.648274005478</v>
      </c>
      <c r="AG77" s="80">
        <f>IF('1.Premissas Receitas'!$D$8=1,0.18,IF('1.Premissas Receitas'!$D$8=2,0.05,0.1))*AG61</f>
        <v>82483.121894404336</v>
      </c>
      <c r="AH77" s="80">
        <f>IF('1.Premissas Receitas'!$D$8=1,0.18,IF('1.Premissas Receitas'!$D$8=2,0.05,0.1))*AH61</f>
        <v>88473.059723415165</v>
      </c>
      <c r="AI77" s="80">
        <f>IF('1.Premissas Receitas'!$D$8=1,0.18,IF('1.Premissas Receitas'!$D$8=2,0.05,0.1))*AI61</f>
        <v>94642.695687296306</v>
      </c>
      <c r="AJ77" s="80">
        <f>IF('1.Premissas Receitas'!$D$8=1,0.18,IF('1.Premissas Receitas'!$D$8=2,0.05,0.1))*AJ61</f>
        <v>100997.4207300939</v>
      </c>
      <c r="AK77" s="80">
        <f>IF('1.Premissas Receitas'!$D$8=1,0.18,IF('1.Premissas Receitas'!$D$8=2,0.05,0.1))*AK61</f>
        <v>107542.78752417539</v>
      </c>
      <c r="AL77" s="80">
        <f>IF('1.Premissas Receitas'!$D$8=1,0.18,IF('1.Premissas Receitas'!$D$8=2,0.05,0.1))*AL61</f>
        <v>114284.51532207936</v>
      </c>
      <c r="AM77" s="80">
        <f>IF('1.Premissas Receitas'!$D$8=1,0.18,IF('1.Premissas Receitas'!$D$8=2,0.05,0.1))*AM61</f>
        <v>121228.49495392044</v>
      </c>
      <c r="AN77" s="80">
        <f>IF('1.Premissas Receitas'!$D$8=1,0.18,IF('1.Premissas Receitas'!$D$8=2,0.05,0.1))*AN61</f>
        <v>128380.79397471678</v>
      </c>
      <c r="AO77" s="80">
        <f>IF('1.Premissas Receitas'!$D$8=1,0.18,IF('1.Premissas Receitas'!$D$8=2,0.05,0.1))*AO61</f>
        <v>135747.66196613698</v>
      </c>
      <c r="AP77" s="80">
        <f>IF('1.Premissas Receitas'!$D$8=1,0.18,IF('1.Premissas Receitas'!$D$8=2,0.05,0.1))*AP61</f>
        <v>143335.53599729977</v>
      </c>
      <c r="AQ77" s="80">
        <f>IF('1.Premissas Receitas'!$E$8=1,0.18,IF('1.Premissas Receitas'!$E$8=2,0.05,0.1))*AQ61</f>
        <v>304881.9696693903</v>
      </c>
      <c r="AR77" s="80">
        <f>IF('1.Premissas Receitas'!$E$8=1,0.18,IF('1.Premissas Receitas'!$E$8=2,0.05,0.1))*AR61</f>
        <v>323639.19427442481</v>
      </c>
      <c r="AS77" s="80">
        <f>IF('1.Premissas Receitas'!$E$8=1,0.18,IF('1.Premissas Receitas'!$E$8=2,0.05,0.1))*AS61</f>
        <v>342959.1356176103</v>
      </c>
      <c r="AT77" s="80">
        <f>IF('1.Premissas Receitas'!$E$8=1,0.18,IF('1.Premissas Receitas'!$E$8=2,0.05,0.1))*AT61</f>
        <v>362858.67520109133</v>
      </c>
      <c r="AU77" s="80">
        <f>IF('1.Premissas Receitas'!$E$8=1,0.18,IF('1.Premissas Receitas'!$E$8=2,0.05,0.1))*AU61</f>
        <v>383355.2009720768</v>
      </c>
      <c r="AV77" s="80">
        <f>IF('1.Premissas Receitas'!$E$8=1,0.18,IF('1.Premissas Receitas'!$E$8=2,0.05,0.1))*AV61</f>
        <v>404466.62251619186</v>
      </c>
      <c r="AW77" s="80">
        <f>IF('1.Premissas Receitas'!$E$8=1,0.18,IF('1.Premissas Receitas'!$E$8=2,0.05,0.1))*AW61</f>
        <v>426211.38670663035</v>
      </c>
      <c r="AX77" s="80">
        <f>IF('1.Premissas Receitas'!$E$8=1,0.18,IF('1.Premissas Receitas'!$E$8=2,0.05,0.1))*AX61</f>
        <v>448608.49382278207</v>
      </c>
      <c r="AY77" s="80">
        <f>IF('1.Premissas Receitas'!$E$8=1,0.18,IF('1.Premissas Receitas'!$E$8=2,0.05,0.1))*AY61</f>
        <v>471677.5141524183</v>
      </c>
      <c r="AZ77" s="80">
        <f>IF('1.Premissas Receitas'!$E$8=1,0.18,IF('1.Premissas Receitas'!$E$8=2,0.05,0.1))*AZ61</f>
        <v>495438.60509194364</v>
      </c>
      <c r="BA77" s="80">
        <f>IF('1.Premissas Receitas'!$E$8=1,0.18,IF('1.Premissas Receitas'!$E$8=2,0.05,0.1))*BA61</f>
        <v>519912.52875965461</v>
      </c>
      <c r="BB77" s="80">
        <f>IF('1.Premissas Receitas'!$E$8=1,0.18,IF('1.Premissas Receitas'!$E$8=2,0.05,0.1))*BB61</f>
        <v>545120.67013739701</v>
      </c>
      <c r="BC77" s="80">
        <f>IF('1.Premissas Receitas'!$F$8=1,0.18,IF('1.Premissas Receitas'!$F$8=2,0.05,0.1))*BC61</f>
        <v>574110.03272180073</v>
      </c>
      <c r="BD77" s="80">
        <f>IF('1.Premissas Receitas'!$F$8=1,0.18,IF('1.Premissas Receitas'!$F$8=2,0.05,0.1))*BD61</f>
        <v>603969.07618373656</v>
      </c>
      <c r="BE77" s="80">
        <f>IF('1.Premissas Receitas'!$F$8=1,0.18,IF('1.Premissas Receitas'!$F$8=2,0.05,0.1))*BE61</f>
        <v>634723.89094953053</v>
      </c>
      <c r="BF77" s="80">
        <f>IF('1.Premissas Receitas'!$F$8=1,0.18,IF('1.Premissas Receitas'!$F$8=2,0.05,0.1))*BF61</f>
        <v>666401.35015829839</v>
      </c>
      <c r="BG77" s="80">
        <f>IF('1.Premissas Receitas'!$F$8=1,0.18,IF('1.Premissas Receitas'!$F$8=2,0.05,0.1))*BG61</f>
        <v>699029.13314332918</v>
      </c>
      <c r="BH77" s="80">
        <f>IF('1.Premissas Receitas'!$F$8=1,0.18,IF('1.Premissas Receitas'!$F$8=2,0.05,0.1))*BH61</f>
        <v>732635.74961791094</v>
      </c>
      <c r="BI77" s="80">
        <f>IF('1.Premissas Receitas'!$F$8=1,0.18,IF('1.Premissas Receitas'!$F$8=2,0.05,0.1))*BI61</f>
        <v>767250.56458673009</v>
      </c>
      <c r="BJ77" s="80">
        <f>IF('1.Premissas Receitas'!$F$8=1,0.18,IF('1.Premissas Receitas'!$F$8=2,0.05,0.1))*BJ61</f>
        <v>802903.82400461379</v>
      </c>
      <c r="BK77" s="80">
        <f>IF('1.Premissas Receitas'!$F$8=1,0.18,IF('1.Premissas Receitas'!$F$8=2,0.05,0.1))*BK61</f>
        <v>839626.68120503391</v>
      </c>
      <c r="BL77" s="80">
        <f>IF('1.Premissas Receitas'!$F$8=1,0.18,IF('1.Premissas Receitas'!$F$8=2,0.05,0.1))*BL61</f>
        <v>877451.22412146674</v>
      </c>
      <c r="BM77" s="80">
        <f>IF('1.Premissas Receitas'!$F$8=1,0.18,IF('1.Premissas Receitas'!$F$8=2,0.05,0.1))*BM61</f>
        <v>916410.50332539249</v>
      </c>
      <c r="BN77" s="80">
        <f>IF('1.Premissas Receitas'!$F$8=1,0.18,IF('1.Premissas Receitas'!$F$8=2,0.05,0.1))*BN61</f>
        <v>956538.56090543594</v>
      </c>
      <c r="BO77" s="16"/>
      <c r="BP77" s="80">
        <f>IF('1.Premissas Receitas'!$B$8=1,0.18,IF('1.Premissas Receitas'!$B$8=2,0.05,0.1))*BP61</f>
        <v>22308.214733957593</v>
      </c>
      <c r="BQ77" s="80">
        <f>IF('1.Premissas Receitas'!$C$8=1,0.18,IF('1.Premissas Receitas'!$C$8=2,0.05,0.1))*BQ61</f>
        <v>62493.719924992976</v>
      </c>
      <c r="BR77" s="80">
        <f>IF('1.Premissas Receitas'!$D$8=1,0.18,IF('1.Premissas Receitas'!$D$8=2,0.05,0.1))*BR61</f>
        <v>140289.34018614164</v>
      </c>
      <c r="BS77" s="80">
        <f>IF('1.Premissas Receitas'!$E$8=1,0.18,IF('1.Premissas Receitas'!$E$8=2,0.05,0.1))*BS61</f>
        <v>539028.27851508057</v>
      </c>
      <c r="BT77" s="80">
        <f>IF('1.Premissas Receitas'!$F$8=1,0.18,IF('1.Premissas Receitas'!$F$8=2,0.05,0.1))*BT61</f>
        <v>950446.16928311985</v>
      </c>
    </row>
    <row r="78" spans="1:72" ht="15.75" customHeight="1" x14ac:dyDescent="0.3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49"/>
      <c r="BP78" s="49"/>
      <c r="BQ78" s="49"/>
      <c r="BR78" s="49"/>
      <c r="BS78" s="49"/>
      <c r="BT78" s="49"/>
    </row>
    <row r="79" spans="1:72" ht="15.75" customHeight="1" x14ac:dyDescent="0.35">
      <c r="A79" s="18" t="s">
        <v>162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20"/>
      <c r="BP79" s="18"/>
      <c r="BQ79" s="18"/>
      <c r="BR79" s="18"/>
      <c r="BS79" s="18"/>
      <c r="BT79" s="18"/>
    </row>
    <row r="80" spans="1:72" ht="15.75" customHeight="1" x14ac:dyDescent="0.35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</row>
    <row r="81" spans="1:72" ht="15.75" customHeight="1" x14ac:dyDescent="0.35">
      <c r="A81" s="49"/>
      <c r="B81" s="16" t="s">
        <v>163</v>
      </c>
      <c r="C81" s="49"/>
      <c r="D81" s="49"/>
      <c r="E81" s="49"/>
      <c r="F81" s="81"/>
      <c r="G81" s="67">
        <f t="shared" ref="G81:AL81" si="89">+F100</f>
        <v>0</v>
      </c>
      <c r="H81" s="67">
        <f t="shared" si="89"/>
        <v>7964.3333333333339</v>
      </c>
      <c r="I81" s="67">
        <f t="shared" si="89"/>
        <v>8203.2633333333342</v>
      </c>
      <c r="J81" s="67">
        <f t="shared" si="89"/>
        <v>8449.3612333333331</v>
      </c>
      <c r="K81" s="67">
        <f t="shared" si="89"/>
        <v>8702.8420703333322</v>
      </c>
      <c r="L81" s="67">
        <f t="shared" si="89"/>
        <v>8963.9273324433325</v>
      </c>
      <c r="M81" s="67">
        <f t="shared" si="89"/>
        <v>9232.8451524166321</v>
      </c>
      <c r="N81" s="67">
        <f t="shared" si="89"/>
        <v>9509.8305069891303</v>
      </c>
      <c r="O81" s="67">
        <f t="shared" si="89"/>
        <v>9795.1254221988056</v>
      </c>
      <c r="P81" s="67">
        <f t="shared" si="89"/>
        <v>10088.979184864769</v>
      </c>
      <c r="Q81" s="67">
        <f t="shared" si="89"/>
        <v>10391.648560410711</v>
      </c>
      <c r="R81" s="67">
        <f t="shared" si="89"/>
        <v>10703.398017223033</v>
      </c>
      <c r="S81" s="67">
        <f t="shared" si="89"/>
        <v>11024.499957739725</v>
      </c>
      <c r="T81" s="67">
        <f t="shared" si="89"/>
        <v>15434.299940835614</v>
      </c>
      <c r="U81" s="67">
        <f t="shared" si="89"/>
        <v>15897.328939060682</v>
      </c>
      <c r="V81" s="67">
        <f t="shared" si="89"/>
        <v>16374.248807232503</v>
      </c>
      <c r="W81" s="67">
        <f t="shared" si="89"/>
        <v>16865.476271449479</v>
      </c>
      <c r="X81" s="67">
        <f t="shared" si="89"/>
        <v>17371.440559592964</v>
      </c>
      <c r="Y81" s="67">
        <f t="shared" si="89"/>
        <v>17892.58377638075</v>
      </c>
      <c r="Z81" s="67">
        <f t="shared" si="89"/>
        <v>18429.361289672172</v>
      </c>
      <c r="AA81" s="67">
        <f t="shared" si="89"/>
        <v>18982.242128362333</v>
      </c>
      <c r="AB81" s="67">
        <f t="shared" si="89"/>
        <v>19551.709392213208</v>
      </c>
      <c r="AC81" s="67">
        <f t="shared" si="89"/>
        <v>20138.260673979607</v>
      </c>
      <c r="AD81" s="67">
        <f t="shared" si="89"/>
        <v>20742.408494198993</v>
      </c>
      <c r="AE81" s="67">
        <f t="shared" si="89"/>
        <v>21364.680749024959</v>
      </c>
      <c r="AF81" s="67">
        <f t="shared" si="89"/>
        <v>27774.084973732446</v>
      </c>
      <c r="AG81" s="67">
        <f t="shared" si="89"/>
        <v>28607.307522944418</v>
      </c>
      <c r="AH81" s="67">
        <f t="shared" si="89"/>
        <v>29465.52674863275</v>
      </c>
      <c r="AI81" s="67">
        <f t="shared" si="89"/>
        <v>30349.492551091731</v>
      </c>
      <c r="AJ81" s="67">
        <f t="shared" si="89"/>
        <v>31259.977327624481</v>
      </c>
      <c r="AK81" s="67">
        <f t="shared" si="89"/>
        <v>32197.776647453215</v>
      </c>
      <c r="AL81" s="67">
        <f t="shared" si="89"/>
        <v>33163.709946876814</v>
      </c>
      <c r="AM81" s="67">
        <f t="shared" ref="AM81:BN81" si="90">+AL100</f>
        <v>34158.621245283117</v>
      </c>
      <c r="AN81" s="67">
        <f t="shared" si="90"/>
        <v>35183.379882641617</v>
      </c>
      <c r="AO81" s="67">
        <f t="shared" si="90"/>
        <v>36238.881279120855</v>
      </c>
      <c r="AP81" s="67">
        <f t="shared" si="90"/>
        <v>37326.047717494483</v>
      </c>
      <c r="AQ81" s="67">
        <f t="shared" si="90"/>
        <v>38445.829149019322</v>
      </c>
      <c r="AR81" s="67">
        <f t="shared" si="90"/>
        <v>46134.994978823175</v>
      </c>
      <c r="AS81" s="67">
        <f t="shared" si="90"/>
        <v>47519.044828187878</v>
      </c>
      <c r="AT81" s="67">
        <f t="shared" si="90"/>
        <v>48944.616173033515</v>
      </c>
      <c r="AU81" s="67">
        <f t="shared" si="90"/>
        <v>50412.954658224517</v>
      </c>
      <c r="AV81" s="67">
        <f t="shared" si="90"/>
        <v>51925.343297971252</v>
      </c>
      <c r="AW81" s="67">
        <f t="shared" si="90"/>
        <v>53483.103596910398</v>
      </c>
      <c r="AX81" s="67">
        <f t="shared" si="90"/>
        <v>55087.596704817697</v>
      </c>
      <c r="AY81" s="67">
        <f t="shared" si="90"/>
        <v>56740.224605962234</v>
      </c>
      <c r="AZ81" s="67">
        <f t="shared" si="90"/>
        <v>58442.431344141092</v>
      </c>
      <c r="BA81" s="67">
        <f t="shared" si="90"/>
        <v>60195.704284465319</v>
      </c>
      <c r="BB81" s="67">
        <f t="shared" si="90"/>
        <v>62001.575412999278</v>
      </c>
      <c r="BC81" s="67">
        <f t="shared" si="90"/>
        <v>63861.622675389255</v>
      </c>
      <c r="BD81" s="67">
        <f t="shared" si="90"/>
        <v>73440.866076697654</v>
      </c>
      <c r="BE81" s="67">
        <f t="shared" si="90"/>
        <v>75644.092058998576</v>
      </c>
      <c r="BF81" s="67">
        <f t="shared" si="90"/>
        <v>77913.414820768536</v>
      </c>
      <c r="BG81" s="67">
        <f t="shared" si="90"/>
        <v>80250.817265391597</v>
      </c>
      <c r="BH81" s="67">
        <f t="shared" si="90"/>
        <v>82658.341783353346</v>
      </c>
      <c r="BI81" s="67">
        <f t="shared" si="90"/>
        <v>85138.092036853966</v>
      </c>
      <c r="BJ81" s="67">
        <f t="shared" si="90"/>
        <v>87692.23479795958</v>
      </c>
      <c r="BK81" s="67">
        <f t="shared" si="90"/>
        <v>90323.001841898353</v>
      </c>
      <c r="BL81" s="67">
        <f t="shared" si="90"/>
        <v>93032.691897155295</v>
      </c>
      <c r="BM81" s="67">
        <f t="shared" si="90"/>
        <v>95823.672654069946</v>
      </c>
      <c r="BN81" s="67">
        <f t="shared" si="90"/>
        <v>98698.382833692056</v>
      </c>
      <c r="BO81" s="81"/>
      <c r="BP81" s="67">
        <f>+BO100</f>
        <v>0</v>
      </c>
      <c r="BQ81" s="67">
        <f>+BP100</f>
        <v>113030.05410461947</v>
      </c>
      <c r="BR81" s="67">
        <f>+BQ100</f>
        <v>203609.74108116768</v>
      </c>
      <c r="BS81" s="67">
        <f>+BR100</f>
        <v>394170.63499191531</v>
      </c>
      <c r="BT81" s="67">
        <f>+BS100</f>
        <v>654749.21256092552</v>
      </c>
    </row>
    <row r="82" spans="1:72" ht="15.75" customHeight="1" outlineLevel="1" x14ac:dyDescent="0.35">
      <c r="A82" s="20"/>
      <c r="B82" s="27"/>
      <c r="C82" s="20" t="str">
        <f t="shared" ref="C82:C99" si="91">C43</f>
        <v># de clientes Assinatura Fremium</v>
      </c>
      <c r="D82" s="20"/>
      <c r="E82" s="20"/>
      <c r="F82" s="82">
        <f>'1.Premissas Receitas'!D25</f>
        <v>0</v>
      </c>
      <c r="G82" s="66">
        <f t="shared" ref="G82:AL82" si="92">$F$82*G9</f>
        <v>0</v>
      </c>
      <c r="H82" s="66">
        <f t="shared" si="92"/>
        <v>0</v>
      </c>
      <c r="I82" s="66">
        <f t="shared" si="92"/>
        <v>0</v>
      </c>
      <c r="J82" s="66">
        <f t="shared" si="92"/>
        <v>0</v>
      </c>
      <c r="K82" s="66">
        <f t="shared" si="92"/>
        <v>0</v>
      </c>
      <c r="L82" s="66">
        <f t="shared" si="92"/>
        <v>0</v>
      </c>
      <c r="M82" s="66">
        <f t="shared" si="92"/>
        <v>0</v>
      </c>
      <c r="N82" s="66">
        <f t="shared" si="92"/>
        <v>0</v>
      </c>
      <c r="O82" s="66">
        <f t="shared" si="92"/>
        <v>0</v>
      </c>
      <c r="P82" s="66">
        <f t="shared" si="92"/>
        <v>0</v>
      </c>
      <c r="Q82" s="66">
        <f t="shared" si="92"/>
        <v>0</v>
      </c>
      <c r="R82" s="66">
        <f t="shared" si="92"/>
        <v>0</v>
      </c>
      <c r="S82" s="66">
        <f t="shared" si="92"/>
        <v>0</v>
      </c>
      <c r="T82" s="66">
        <f t="shared" si="92"/>
        <v>0</v>
      </c>
      <c r="U82" s="66">
        <f t="shared" si="92"/>
        <v>0</v>
      </c>
      <c r="V82" s="66">
        <f t="shared" si="92"/>
        <v>0</v>
      </c>
      <c r="W82" s="66">
        <f t="shared" si="92"/>
        <v>0</v>
      </c>
      <c r="X82" s="66">
        <f t="shared" si="92"/>
        <v>0</v>
      </c>
      <c r="Y82" s="66">
        <f t="shared" si="92"/>
        <v>0</v>
      </c>
      <c r="Z82" s="66">
        <f t="shared" si="92"/>
        <v>0</v>
      </c>
      <c r="AA82" s="66">
        <f t="shared" si="92"/>
        <v>0</v>
      </c>
      <c r="AB82" s="66">
        <f t="shared" si="92"/>
        <v>0</v>
      </c>
      <c r="AC82" s="66">
        <f t="shared" si="92"/>
        <v>0</v>
      </c>
      <c r="AD82" s="66">
        <f t="shared" si="92"/>
        <v>0</v>
      </c>
      <c r="AE82" s="66">
        <f t="shared" si="92"/>
        <v>0</v>
      </c>
      <c r="AF82" s="66">
        <f t="shared" si="92"/>
        <v>0</v>
      </c>
      <c r="AG82" s="66">
        <f t="shared" si="92"/>
        <v>0</v>
      </c>
      <c r="AH82" s="66">
        <f t="shared" si="92"/>
        <v>0</v>
      </c>
      <c r="AI82" s="66">
        <f t="shared" si="92"/>
        <v>0</v>
      </c>
      <c r="AJ82" s="66">
        <f t="shared" si="92"/>
        <v>0</v>
      </c>
      <c r="AK82" s="66">
        <f t="shared" si="92"/>
        <v>0</v>
      </c>
      <c r="AL82" s="66">
        <f t="shared" si="92"/>
        <v>0</v>
      </c>
      <c r="AM82" s="66">
        <f t="shared" ref="AM82:BN82" si="93">$F$82*AM9</f>
        <v>0</v>
      </c>
      <c r="AN82" s="66">
        <f t="shared" si="93"/>
        <v>0</v>
      </c>
      <c r="AO82" s="66">
        <f t="shared" si="93"/>
        <v>0</v>
      </c>
      <c r="AP82" s="66">
        <f t="shared" si="93"/>
        <v>0</v>
      </c>
      <c r="AQ82" s="66">
        <f t="shared" si="93"/>
        <v>0</v>
      </c>
      <c r="AR82" s="66">
        <f t="shared" si="93"/>
        <v>0</v>
      </c>
      <c r="AS82" s="66">
        <f t="shared" si="93"/>
        <v>0</v>
      </c>
      <c r="AT82" s="66">
        <f t="shared" si="93"/>
        <v>0</v>
      </c>
      <c r="AU82" s="66">
        <f t="shared" si="93"/>
        <v>0</v>
      </c>
      <c r="AV82" s="66">
        <f t="shared" si="93"/>
        <v>0</v>
      </c>
      <c r="AW82" s="66">
        <f t="shared" si="93"/>
        <v>0</v>
      </c>
      <c r="AX82" s="66">
        <f t="shared" si="93"/>
        <v>0</v>
      </c>
      <c r="AY82" s="66">
        <f t="shared" si="93"/>
        <v>0</v>
      </c>
      <c r="AZ82" s="66">
        <f t="shared" si="93"/>
        <v>0</v>
      </c>
      <c r="BA82" s="66">
        <f t="shared" si="93"/>
        <v>0</v>
      </c>
      <c r="BB82" s="66">
        <f t="shared" si="93"/>
        <v>0</v>
      </c>
      <c r="BC82" s="66">
        <f t="shared" si="93"/>
        <v>0</v>
      </c>
      <c r="BD82" s="66">
        <f t="shared" si="93"/>
        <v>0</v>
      </c>
      <c r="BE82" s="66">
        <f t="shared" si="93"/>
        <v>0</v>
      </c>
      <c r="BF82" s="66">
        <f t="shared" si="93"/>
        <v>0</v>
      </c>
      <c r="BG82" s="66">
        <f t="shared" si="93"/>
        <v>0</v>
      </c>
      <c r="BH82" s="66">
        <f t="shared" si="93"/>
        <v>0</v>
      </c>
      <c r="BI82" s="66">
        <f t="shared" si="93"/>
        <v>0</v>
      </c>
      <c r="BJ82" s="66">
        <f t="shared" si="93"/>
        <v>0</v>
      </c>
      <c r="BK82" s="66">
        <f t="shared" si="93"/>
        <v>0</v>
      </c>
      <c r="BL82" s="66">
        <f t="shared" si="93"/>
        <v>0</v>
      </c>
      <c r="BM82" s="66">
        <f t="shared" si="93"/>
        <v>0</v>
      </c>
      <c r="BN82" s="66">
        <f t="shared" si="93"/>
        <v>0</v>
      </c>
      <c r="BO82" s="66"/>
      <c r="BP82" s="66">
        <f t="shared" ref="BP82:BP99" si="94">SUM(G82:R82)</f>
        <v>0</v>
      </c>
      <c r="BQ82" s="66">
        <f t="shared" ref="BQ82:BQ99" si="95">SUM(T82:AD82)</f>
        <v>0</v>
      </c>
      <c r="BR82" s="66">
        <f t="shared" ref="BR82:BR99" si="96">SUM(AE82:AP82)</f>
        <v>0</v>
      </c>
      <c r="BS82" s="66">
        <f t="shared" ref="BS82:BS99" si="97">SUM(AQ82:BB82)</f>
        <v>0</v>
      </c>
      <c r="BT82" s="66">
        <f t="shared" ref="BT82:BT99" si="98">SUM(BC82:BN82)</f>
        <v>0</v>
      </c>
    </row>
    <row r="83" spans="1:72" ht="15.75" customHeight="1" outlineLevel="1" x14ac:dyDescent="0.35">
      <c r="A83" s="20"/>
      <c r="C83" s="20" t="str">
        <f t="shared" si="91"/>
        <v># de clientes Assinatura 1</v>
      </c>
      <c r="D83" s="20"/>
      <c r="E83" s="20"/>
      <c r="F83" s="82">
        <f>'1.Premissas Receitas'!D26</f>
        <v>150</v>
      </c>
      <c r="G83" s="66">
        <f t="shared" ref="G83:AL83" si="99">$F$83*G10</f>
        <v>105</v>
      </c>
      <c r="H83" s="66">
        <f t="shared" si="99"/>
        <v>108.14999999999999</v>
      </c>
      <c r="I83" s="66">
        <f t="shared" si="99"/>
        <v>111.39450000000001</v>
      </c>
      <c r="J83" s="66">
        <f t="shared" si="99"/>
        <v>114.736335</v>
      </c>
      <c r="K83" s="66">
        <f t="shared" si="99"/>
        <v>118.17842505</v>
      </c>
      <c r="L83" s="66">
        <f t="shared" si="99"/>
        <v>121.72377780150001</v>
      </c>
      <c r="M83" s="66">
        <f t="shared" si="99"/>
        <v>125.37549113554502</v>
      </c>
      <c r="N83" s="66">
        <f t="shared" si="99"/>
        <v>129.13675586961136</v>
      </c>
      <c r="O83" s="66">
        <f t="shared" si="99"/>
        <v>133.0108585456997</v>
      </c>
      <c r="P83" s="66">
        <f t="shared" si="99"/>
        <v>137.0011843020707</v>
      </c>
      <c r="Q83" s="66">
        <f t="shared" si="99"/>
        <v>141.11121983113281</v>
      </c>
      <c r="R83" s="66">
        <f t="shared" si="99"/>
        <v>145.34455642606679</v>
      </c>
      <c r="S83" s="66">
        <f t="shared" si="99"/>
        <v>203.48237899649351</v>
      </c>
      <c r="T83" s="66">
        <f t="shared" si="99"/>
        <v>209.58685036638832</v>
      </c>
      <c r="U83" s="66">
        <f t="shared" si="99"/>
        <v>215.87445587737994</v>
      </c>
      <c r="V83" s="66">
        <f t="shared" si="99"/>
        <v>222.35068955370133</v>
      </c>
      <c r="W83" s="66">
        <f t="shared" si="99"/>
        <v>229.02121024031234</v>
      </c>
      <c r="X83" s="66">
        <f t="shared" si="99"/>
        <v>235.89184654752171</v>
      </c>
      <c r="Y83" s="66">
        <f t="shared" si="99"/>
        <v>242.96860194394736</v>
      </c>
      <c r="Z83" s="66">
        <f t="shared" si="99"/>
        <v>250.25766000226577</v>
      </c>
      <c r="AA83" s="66">
        <f t="shared" si="99"/>
        <v>257.76538980233374</v>
      </c>
      <c r="AB83" s="66">
        <f t="shared" si="99"/>
        <v>265.49835149640376</v>
      </c>
      <c r="AC83" s="66">
        <f t="shared" si="99"/>
        <v>273.46330204129583</v>
      </c>
      <c r="AD83" s="66">
        <f t="shared" si="99"/>
        <v>281.6672011025347</v>
      </c>
      <c r="AE83" s="66">
        <f t="shared" si="99"/>
        <v>366.16736143329513</v>
      </c>
      <c r="AF83" s="66">
        <f t="shared" si="99"/>
        <v>377.15238227629402</v>
      </c>
      <c r="AG83" s="66">
        <f t="shared" si="99"/>
        <v>388.46695374458278</v>
      </c>
      <c r="AH83" s="66">
        <f t="shared" si="99"/>
        <v>400.12096235692024</v>
      </c>
      <c r="AI83" s="66">
        <f t="shared" si="99"/>
        <v>412.12459122762783</v>
      </c>
      <c r="AJ83" s="66">
        <f t="shared" si="99"/>
        <v>424.48832896445668</v>
      </c>
      <c r="AK83" s="66">
        <f t="shared" si="99"/>
        <v>437.22297883339036</v>
      </c>
      <c r="AL83" s="66">
        <f t="shared" si="99"/>
        <v>450.33966819839202</v>
      </c>
      <c r="AM83" s="66">
        <f t="shared" ref="AM83:BN83" si="100">$F$83*AM10</f>
        <v>463.84985824434381</v>
      </c>
      <c r="AN83" s="66">
        <f t="shared" si="100"/>
        <v>477.76535399167409</v>
      </c>
      <c r="AO83" s="66">
        <f t="shared" si="100"/>
        <v>492.09831461142431</v>
      </c>
      <c r="AP83" s="66">
        <f t="shared" si="100"/>
        <v>506.86126404976704</v>
      </c>
      <c r="AQ83" s="66">
        <f t="shared" si="100"/>
        <v>608.23351685972045</v>
      </c>
      <c r="AR83" s="66">
        <f t="shared" si="100"/>
        <v>626.48052236551212</v>
      </c>
      <c r="AS83" s="66">
        <f t="shared" si="100"/>
        <v>645.27493803647747</v>
      </c>
      <c r="AT83" s="66">
        <f t="shared" si="100"/>
        <v>664.63318617757182</v>
      </c>
      <c r="AU83" s="66">
        <f t="shared" si="100"/>
        <v>684.57218176289894</v>
      </c>
      <c r="AV83" s="66">
        <f t="shared" si="100"/>
        <v>705.10934721578587</v>
      </c>
      <c r="AW83" s="66">
        <f t="shared" si="100"/>
        <v>726.26262763225941</v>
      </c>
      <c r="AX83" s="66">
        <f t="shared" si="100"/>
        <v>748.0505064612272</v>
      </c>
      <c r="AY83" s="66">
        <f t="shared" si="100"/>
        <v>770.49202165506415</v>
      </c>
      <c r="AZ83" s="66">
        <f t="shared" si="100"/>
        <v>793.60678230471592</v>
      </c>
      <c r="BA83" s="66">
        <f t="shared" si="100"/>
        <v>817.41498577385744</v>
      </c>
      <c r="BB83" s="66">
        <f t="shared" si="100"/>
        <v>841.93743534707312</v>
      </c>
      <c r="BC83" s="66">
        <f t="shared" si="100"/>
        <v>968.22805064913405</v>
      </c>
      <c r="BD83" s="66">
        <f t="shared" si="100"/>
        <v>997.27489216860806</v>
      </c>
      <c r="BE83" s="66">
        <f t="shared" si="100"/>
        <v>1027.1931389336664</v>
      </c>
      <c r="BF83" s="66">
        <f t="shared" si="100"/>
        <v>1058.0089331016763</v>
      </c>
      <c r="BG83" s="66">
        <f t="shared" si="100"/>
        <v>1089.7492010947267</v>
      </c>
      <c r="BH83" s="66">
        <f t="shared" si="100"/>
        <v>1122.4416771275685</v>
      </c>
      <c r="BI83" s="66">
        <f t="shared" si="100"/>
        <v>1156.1149274413956</v>
      </c>
      <c r="BJ83" s="66">
        <f t="shared" si="100"/>
        <v>1190.7983752646373</v>
      </c>
      <c r="BK83" s="66">
        <f t="shared" si="100"/>
        <v>1226.5223265225766</v>
      </c>
      <c r="BL83" s="66">
        <f t="shared" si="100"/>
        <v>1263.3179963182538</v>
      </c>
      <c r="BM83" s="66">
        <f t="shared" si="100"/>
        <v>1301.2175362078015</v>
      </c>
      <c r="BN83" s="66">
        <f t="shared" si="100"/>
        <v>1340.2540622940353</v>
      </c>
      <c r="BO83" s="66"/>
      <c r="BP83" s="66">
        <f t="shared" si="94"/>
        <v>1490.1631039616263</v>
      </c>
      <c r="BQ83" s="66">
        <f t="shared" si="95"/>
        <v>2684.3455589740847</v>
      </c>
      <c r="BR83" s="66">
        <f t="shared" si="96"/>
        <v>5196.6580179321681</v>
      </c>
      <c r="BS83" s="66">
        <f t="shared" si="97"/>
        <v>8632.0680515921649</v>
      </c>
      <c r="BT83" s="66">
        <f t="shared" si="98"/>
        <v>13741.121117124079</v>
      </c>
    </row>
    <row r="84" spans="1:72" ht="15.75" customHeight="1" outlineLevel="1" x14ac:dyDescent="0.35">
      <c r="A84" s="20"/>
      <c r="B84" s="27"/>
      <c r="C84" s="20" t="str">
        <f t="shared" si="91"/>
        <v># de clientes Assinatura 2</v>
      </c>
      <c r="D84" s="20"/>
      <c r="E84" s="20"/>
      <c r="F84" s="82">
        <f>'1.Premissas Receitas'!D27</f>
        <v>420</v>
      </c>
      <c r="G84" s="66">
        <f t="shared" ref="G84:AL84" si="101">$F$84*G11</f>
        <v>126</v>
      </c>
      <c r="H84" s="66">
        <f t="shared" si="101"/>
        <v>129.78</v>
      </c>
      <c r="I84" s="66">
        <f t="shared" si="101"/>
        <v>133.67339999999999</v>
      </c>
      <c r="J84" s="66">
        <f t="shared" si="101"/>
        <v>137.68360200000001</v>
      </c>
      <c r="K84" s="66">
        <f t="shared" si="101"/>
        <v>141.81411005999999</v>
      </c>
      <c r="L84" s="66">
        <f t="shared" si="101"/>
        <v>146.06853336180001</v>
      </c>
      <c r="M84" s="66">
        <f t="shared" si="101"/>
        <v>150.450589362654</v>
      </c>
      <c r="N84" s="66">
        <f t="shared" si="101"/>
        <v>154.9641070435336</v>
      </c>
      <c r="O84" s="66">
        <f t="shared" si="101"/>
        <v>159.61303025483963</v>
      </c>
      <c r="P84" s="66">
        <f t="shared" si="101"/>
        <v>164.40142116248481</v>
      </c>
      <c r="Q84" s="66">
        <f t="shared" si="101"/>
        <v>169.33346379735934</v>
      </c>
      <c r="R84" s="66">
        <f t="shared" si="101"/>
        <v>174.41346771128013</v>
      </c>
      <c r="S84" s="66">
        <f t="shared" si="101"/>
        <v>244.17885479579223</v>
      </c>
      <c r="T84" s="66">
        <f t="shared" si="101"/>
        <v>251.50422043966597</v>
      </c>
      <c r="U84" s="66">
        <f t="shared" si="101"/>
        <v>259.04934705285598</v>
      </c>
      <c r="V84" s="66">
        <f t="shared" si="101"/>
        <v>266.82082746444161</v>
      </c>
      <c r="W84" s="66">
        <f t="shared" si="101"/>
        <v>274.82545228837483</v>
      </c>
      <c r="X84" s="66">
        <f t="shared" si="101"/>
        <v>283.07021585702608</v>
      </c>
      <c r="Y84" s="66">
        <f t="shared" si="101"/>
        <v>291.56232233273687</v>
      </c>
      <c r="Z84" s="66">
        <f t="shared" si="101"/>
        <v>300.30919200271893</v>
      </c>
      <c r="AA84" s="66">
        <f t="shared" si="101"/>
        <v>309.31846776280054</v>
      </c>
      <c r="AB84" s="66">
        <f t="shared" si="101"/>
        <v>318.59802179568453</v>
      </c>
      <c r="AC84" s="66">
        <f t="shared" si="101"/>
        <v>328.15596244955503</v>
      </c>
      <c r="AD84" s="66">
        <f t="shared" si="101"/>
        <v>338.00064132304169</v>
      </c>
      <c r="AE84" s="66">
        <f t="shared" si="101"/>
        <v>439.40083371995422</v>
      </c>
      <c r="AF84" s="66">
        <f t="shared" si="101"/>
        <v>452.5828587315529</v>
      </c>
      <c r="AG84" s="66">
        <f t="shared" si="101"/>
        <v>466.16034449349951</v>
      </c>
      <c r="AH84" s="66">
        <f t="shared" si="101"/>
        <v>480.1451548283045</v>
      </c>
      <c r="AI84" s="66">
        <f t="shared" si="101"/>
        <v>494.54950947315365</v>
      </c>
      <c r="AJ84" s="66">
        <f t="shared" si="101"/>
        <v>509.38599475734827</v>
      </c>
      <c r="AK84" s="66">
        <f t="shared" si="101"/>
        <v>524.66757460006875</v>
      </c>
      <c r="AL84" s="66">
        <f t="shared" si="101"/>
        <v>540.40760183807083</v>
      </c>
      <c r="AM84" s="66">
        <f t="shared" ref="AM84:BN84" si="102">$F$84*AM11</f>
        <v>556.61982989321291</v>
      </c>
      <c r="AN84" s="66">
        <f t="shared" si="102"/>
        <v>573.31842479000932</v>
      </c>
      <c r="AO84" s="66">
        <f t="shared" si="102"/>
        <v>590.51797753370954</v>
      </c>
      <c r="AP84" s="66">
        <f t="shared" si="102"/>
        <v>608.23351685972079</v>
      </c>
      <c r="AQ84" s="66">
        <f t="shared" si="102"/>
        <v>729.88022023166502</v>
      </c>
      <c r="AR84" s="66">
        <f t="shared" si="102"/>
        <v>751.7766268386149</v>
      </c>
      <c r="AS84" s="66">
        <f t="shared" si="102"/>
        <v>774.32992564377332</v>
      </c>
      <c r="AT84" s="66">
        <f t="shared" si="102"/>
        <v>797.55982341308663</v>
      </c>
      <c r="AU84" s="66">
        <f t="shared" si="102"/>
        <v>821.48661811547913</v>
      </c>
      <c r="AV84" s="66">
        <f t="shared" si="102"/>
        <v>846.13121665894357</v>
      </c>
      <c r="AW84" s="66">
        <f t="shared" si="102"/>
        <v>871.51515315871188</v>
      </c>
      <c r="AX84" s="66">
        <f t="shared" si="102"/>
        <v>897.6606077534733</v>
      </c>
      <c r="AY84" s="66">
        <f t="shared" si="102"/>
        <v>924.59042598607743</v>
      </c>
      <c r="AZ84" s="66">
        <f t="shared" si="102"/>
        <v>952.32813876565967</v>
      </c>
      <c r="BA84" s="66">
        <f t="shared" si="102"/>
        <v>980.89798292862952</v>
      </c>
      <c r="BB84" s="66">
        <f t="shared" si="102"/>
        <v>1010.3249224164883</v>
      </c>
      <c r="BC84" s="66">
        <f t="shared" si="102"/>
        <v>1161.8736607789617</v>
      </c>
      <c r="BD84" s="66">
        <f t="shared" si="102"/>
        <v>1196.7298706023305</v>
      </c>
      <c r="BE84" s="66">
        <f t="shared" si="102"/>
        <v>1232.6317667204005</v>
      </c>
      <c r="BF84" s="66">
        <f t="shared" si="102"/>
        <v>1269.6107197220124</v>
      </c>
      <c r="BG84" s="66">
        <f t="shared" si="102"/>
        <v>1307.6990413136728</v>
      </c>
      <c r="BH84" s="66">
        <f t="shared" si="102"/>
        <v>1346.9300125530829</v>
      </c>
      <c r="BI84" s="66">
        <f t="shared" si="102"/>
        <v>1387.3379129296754</v>
      </c>
      <c r="BJ84" s="66">
        <f t="shared" si="102"/>
        <v>1428.9580503175657</v>
      </c>
      <c r="BK84" s="66">
        <f t="shared" si="102"/>
        <v>1471.8267918270926</v>
      </c>
      <c r="BL84" s="66">
        <f t="shared" si="102"/>
        <v>1515.9815955819056</v>
      </c>
      <c r="BM84" s="66">
        <f t="shared" si="102"/>
        <v>1561.4610434493627</v>
      </c>
      <c r="BN84" s="66">
        <f t="shared" si="102"/>
        <v>1608.3048747528435</v>
      </c>
      <c r="BO84" s="66"/>
      <c r="BP84" s="66">
        <f t="shared" si="94"/>
        <v>1788.1957247539517</v>
      </c>
      <c r="BQ84" s="66">
        <f t="shared" si="95"/>
        <v>3221.2146707689017</v>
      </c>
      <c r="BR84" s="66">
        <f t="shared" si="96"/>
        <v>6235.9896215186045</v>
      </c>
      <c r="BS84" s="66">
        <f t="shared" si="97"/>
        <v>10358.481661910602</v>
      </c>
      <c r="BT84" s="66">
        <f t="shared" si="98"/>
        <v>16489.345340548905</v>
      </c>
    </row>
    <row r="85" spans="1:72" ht="15.75" customHeight="1" outlineLevel="1" x14ac:dyDescent="0.35">
      <c r="A85" s="20"/>
      <c r="B85" s="27"/>
      <c r="C85" s="20" t="str">
        <f t="shared" si="91"/>
        <v># de clientes marketplace % Comissão 1</v>
      </c>
      <c r="D85" s="20"/>
      <c r="E85" s="20"/>
      <c r="F85" s="82">
        <f>'1.Premissas Receitas'!D33</f>
        <v>0</v>
      </c>
      <c r="G85" s="66">
        <f t="shared" ref="G85:AL85" si="103">$F$85*G12</f>
        <v>0</v>
      </c>
      <c r="H85" s="66">
        <f t="shared" si="103"/>
        <v>0</v>
      </c>
      <c r="I85" s="66">
        <f t="shared" si="103"/>
        <v>0</v>
      </c>
      <c r="J85" s="66">
        <f t="shared" si="103"/>
        <v>0</v>
      </c>
      <c r="K85" s="66">
        <f t="shared" si="103"/>
        <v>0</v>
      </c>
      <c r="L85" s="66">
        <f t="shared" si="103"/>
        <v>0</v>
      </c>
      <c r="M85" s="66">
        <f t="shared" si="103"/>
        <v>0</v>
      </c>
      <c r="N85" s="66">
        <f t="shared" si="103"/>
        <v>0</v>
      </c>
      <c r="O85" s="66">
        <f t="shared" si="103"/>
        <v>0</v>
      </c>
      <c r="P85" s="66">
        <f t="shared" si="103"/>
        <v>0</v>
      </c>
      <c r="Q85" s="66">
        <f t="shared" si="103"/>
        <v>0</v>
      </c>
      <c r="R85" s="66">
        <f t="shared" si="103"/>
        <v>0</v>
      </c>
      <c r="S85" s="66">
        <f t="shared" si="103"/>
        <v>0</v>
      </c>
      <c r="T85" s="66">
        <f t="shared" si="103"/>
        <v>0</v>
      </c>
      <c r="U85" s="66">
        <f t="shared" si="103"/>
        <v>0</v>
      </c>
      <c r="V85" s="66">
        <f t="shared" si="103"/>
        <v>0</v>
      </c>
      <c r="W85" s="66">
        <f t="shared" si="103"/>
        <v>0</v>
      </c>
      <c r="X85" s="66">
        <f t="shared" si="103"/>
        <v>0</v>
      </c>
      <c r="Y85" s="66">
        <f t="shared" si="103"/>
        <v>0</v>
      </c>
      <c r="Z85" s="66">
        <f t="shared" si="103"/>
        <v>0</v>
      </c>
      <c r="AA85" s="66">
        <f t="shared" si="103"/>
        <v>0</v>
      </c>
      <c r="AB85" s="66">
        <f t="shared" si="103"/>
        <v>0</v>
      </c>
      <c r="AC85" s="66">
        <f t="shared" si="103"/>
        <v>0</v>
      </c>
      <c r="AD85" s="66">
        <f t="shared" si="103"/>
        <v>0</v>
      </c>
      <c r="AE85" s="66">
        <f t="shared" si="103"/>
        <v>0</v>
      </c>
      <c r="AF85" s="66">
        <f t="shared" si="103"/>
        <v>0</v>
      </c>
      <c r="AG85" s="66">
        <f t="shared" si="103"/>
        <v>0</v>
      </c>
      <c r="AH85" s="66">
        <f t="shared" si="103"/>
        <v>0</v>
      </c>
      <c r="AI85" s="66">
        <f t="shared" si="103"/>
        <v>0</v>
      </c>
      <c r="AJ85" s="66">
        <f t="shared" si="103"/>
        <v>0</v>
      </c>
      <c r="AK85" s="66">
        <f t="shared" si="103"/>
        <v>0</v>
      </c>
      <c r="AL85" s="66">
        <f t="shared" si="103"/>
        <v>0</v>
      </c>
      <c r="AM85" s="66">
        <f t="shared" ref="AM85:BN85" si="104">$F$85*AM12</f>
        <v>0</v>
      </c>
      <c r="AN85" s="66">
        <f t="shared" si="104"/>
        <v>0</v>
      </c>
      <c r="AO85" s="66">
        <f t="shared" si="104"/>
        <v>0</v>
      </c>
      <c r="AP85" s="66">
        <f t="shared" si="104"/>
        <v>0</v>
      </c>
      <c r="AQ85" s="66">
        <f t="shared" si="104"/>
        <v>0</v>
      </c>
      <c r="AR85" s="66">
        <f t="shared" si="104"/>
        <v>0</v>
      </c>
      <c r="AS85" s="66">
        <f t="shared" si="104"/>
        <v>0</v>
      </c>
      <c r="AT85" s="66">
        <f t="shared" si="104"/>
        <v>0</v>
      </c>
      <c r="AU85" s="66">
        <f t="shared" si="104"/>
        <v>0</v>
      </c>
      <c r="AV85" s="66">
        <f t="shared" si="104"/>
        <v>0</v>
      </c>
      <c r="AW85" s="66">
        <f t="shared" si="104"/>
        <v>0</v>
      </c>
      <c r="AX85" s="66">
        <f t="shared" si="104"/>
        <v>0</v>
      </c>
      <c r="AY85" s="66">
        <f t="shared" si="104"/>
        <v>0</v>
      </c>
      <c r="AZ85" s="66">
        <f t="shared" si="104"/>
        <v>0</v>
      </c>
      <c r="BA85" s="66">
        <f t="shared" si="104"/>
        <v>0</v>
      </c>
      <c r="BB85" s="66">
        <f t="shared" si="104"/>
        <v>0</v>
      </c>
      <c r="BC85" s="66">
        <f t="shared" si="104"/>
        <v>0</v>
      </c>
      <c r="BD85" s="66">
        <f t="shared" si="104"/>
        <v>0</v>
      </c>
      <c r="BE85" s="66">
        <f t="shared" si="104"/>
        <v>0</v>
      </c>
      <c r="BF85" s="66">
        <f t="shared" si="104"/>
        <v>0</v>
      </c>
      <c r="BG85" s="66">
        <f t="shared" si="104"/>
        <v>0</v>
      </c>
      <c r="BH85" s="66">
        <f t="shared" si="104"/>
        <v>0</v>
      </c>
      <c r="BI85" s="66">
        <f t="shared" si="104"/>
        <v>0</v>
      </c>
      <c r="BJ85" s="66">
        <f t="shared" si="104"/>
        <v>0</v>
      </c>
      <c r="BK85" s="66">
        <f t="shared" si="104"/>
        <v>0</v>
      </c>
      <c r="BL85" s="66">
        <f t="shared" si="104"/>
        <v>0</v>
      </c>
      <c r="BM85" s="66">
        <f t="shared" si="104"/>
        <v>0</v>
      </c>
      <c r="BN85" s="66">
        <f t="shared" si="104"/>
        <v>0</v>
      </c>
      <c r="BO85" s="66"/>
      <c r="BP85" s="66">
        <f t="shared" si="94"/>
        <v>0</v>
      </c>
      <c r="BQ85" s="66">
        <f t="shared" si="95"/>
        <v>0</v>
      </c>
      <c r="BR85" s="66">
        <f t="shared" si="96"/>
        <v>0</v>
      </c>
      <c r="BS85" s="66">
        <f t="shared" si="97"/>
        <v>0</v>
      </c>
      <c r="BT85" s="66">
        <f t="shared" si="98"/>
        <v>0</v>
      </c>
    </row>
    <row r="86" spans="1:72" ht="15.75" customHeight="1" outlineLevel="1" x14ac:dyDescent="0.35">
      <c r="A86" s="20"/>
      <c r="B86" s="27"/>
      <c r="C86" s="20" t="str">
        <f t="shared" si="91"/>
        <v># de clientes marketplace % Comissão 2</v>
      </c>
      <c r="D86" s="20"/>
      <c r="E86" s="20"/>
      <c r="F86" s="82">
        <f>'1.Premissas Receitas'!D34</f>
        <v>0</v>
      </c>
      <c r="G86" s="66">
        <f t="shared" ref="G86:AL86" si="105">$F$86*G13</f>
        <v>0</v>
      </c>
      <c r="H86" s="66">
        <f t="shared" si="105"/>
        <v>0</v>
      </c>
      <c r="I86" s="66">
        <f t="shared" si="105"/>
        <v>0</v>
      </c>
      <c r="J86" s="66">
        <f t="shared" si="105"/>
        <v>0</v>
      </c>
      <c r="K86" s="66">
        <f t="shared" si="105"/>
        <v>0</v>
      </c>
      <c r="L86" s="66">
        <f t="shared" si="105"/>
        <v>0</v>
      </c>
      <c r="M86" s="66">
        <f t="shared" si="105"/>
        <v>0</v>
      </c>
      <c r="N86" s="66">
        <f t="shared" si="105"/>
        <v>0</v>
      </c>
      <c r="O86" s="66">
        <f t="shared" si="105"/>
        <v>0</v>
      </c>
      <c r="P86" s="66">
        <f t="shared" si="105"/>
        <v>0</v>
      </c>
      <c r="Q86" s="66">
        <f t="shared" si="105"/>
        <v>0</v>
      </c>
      <c r="R86" s="66">
        <f t="shared" si="105"/>
        <v>0</v>
      </c>
      <c r="S86" s="66">
        <f t="shared" si="105"/>
        <v>0</v>
      </c>
      <c r="T86" s="66">
        <f t="shared" si="105"/>
        <v>0</v>
      </c>
      <c r="U86" s="66">
        <f t="shared" si="105"/>
        <v>0</v>
      </c>
      <c r="V86" s="66">
        <f t="shared" si="105"/>
        <v>0</v>
      </c>
      <c r="W86" s="66">
        <f t="shared" si="105"/>
        <v>0</v>
      </c>
      <c r="X86" s="66">
        <f t="shared" si="105"/>
        <v>0</v>
      </c>
      <c r="Y86" s="66">
        <f t="shared" si="105"/>
        <v>0</v>
      </c>
      <c r="Z86" s="66">
        <f t="shared" si="105"/>
        <v>0</v>
      </c>
      <c r="AA86" s="66">
        <f t="shared" si="105"/>
        <v>0</v>
      </c>
      <c r="AB86" s="66">
        <f t="shared" si="105"/>
        <v>0</v>
      </c>
      <c r="AC86" s="66">
        <f t="shared" si="105"/>
        <v>0</v>
      </c>
      <c r="AD86" s="66">
        <f t="shared" si="105"/>
        <v>0</v>
      </c>
      <c r="AE86" s="66">
        <f t="shared" si="105"/>
        <v>0</v>
      </c>
      <c r="AF86" s="66">
        <f t="shared" si="105"/>
        <v>0</v>
      </c>
      <c r="AG86" s="66">
        <f t="shared" si="105"/>
        <v>0</v>
      </c>
      <c r="AH86" s="66">
        <f t="shared" si="105"/>
        <v>0</v>
      </c>
      <c r="AI86" s="66">
        <f t="shared" si="105"/>
        <v>0</v>
      </c>
      <c r="AJ86" s="66">
        <f t="shared" si="105"/>
        <v>0</v>
      </c>
      <c r="AK86" s="66">
        <f t="shared" si="105"/>
        <v>0</v>
      </c>
      <c r="AL86" s="66">
        <f t="shared" si="105"/>
        <v>0</v>
      </c>
      <c r="AM86" s="66">
        <f t="shared" ref="AM86:BN86" si="106">$F$86*AM13</f>
        <v>0</v>
      </c>
      <c r="AN86" s="66">
        <f t="shared" si="106"/>
        <v>0</v>
      </c>
      <c r="AO86" s="66">
        <f t="shared" si="106"/>
        <v>0</v>
      </c>
      <c r="AP86" s="66">
        <f t="shared" si="106"/>
        <v>0</v>
      </c>
      <c r="AQ86" s="66">
        <f t="shared" si="106"/>
        <v>0</v>
      </c>
      <c r="AR86" s="66">
        <f t="shared" si="106"/>
        <v>0</v>
      </c>
      <c r="AS86" s="66">
        <f t="shared" si="106"/>
        <v>0</v>
      </c>
      <c r="AT86" s="66">
        <f t="shared" si="106"/>
        <v>0</v>
      </c>
      <c r="AU86" s="66">
        <f t="shared" si="106"/>
        <v>0</v>
      </c>
      <c r="AV86" s="66">
        <f t="shared" si="106"/>
        <v>0</v>
      </c>
      <c r="AW86" s="66">
        <f t="shared" si="106"/>
        <v>0</v>
      </c>
      <c r="AX86" s="66">
        <f t="shared" si="106"/>
        <v>0</v>
      </c>
      <c r="AY86" s="66">
        <f t="shared" si="106"/>
        <v>0</v>
      </c>
      <c r="AZ86" s="66">
        <f t="shared" si="106"/>
        <v>0</v>
      </c>
      <c r="BA86" s="66">
        <f t="shared" si="106"/>
        <v>0</v>
      </c>
      <c r="BB86" s="66">
        <f t="shared" si="106"/>
        <v>0</v>
      </c>
      <c r="BC86" s="66">
        <f t="shared" si="106"/>
        <v>0</v>
      </c>
      <c r="BD86" s="66">
        <f t="shared" si="106"/>
        <v>0</v>
      </c>
      <c r="BE86" s="66">
        <f t="shared" si="106"/>
        <v>0</v>
      </c>
      <c r="BF86" s="66">
        <f t="shared" si="106"/>
        <v>0</v>
      </c>
      <c r="BG86" s="66">
        <f t="shared" si="106"/>
        <v>0</v>
      </c>
      <c r="BH86" s="66">
        <f t="shared" si="106"/>
        <v>0</v>
      </c>
      <c r="BI86" s="66">
        <f t="shared" si="106"/>
        <v>0</v>
      </c>
      <c r="BJ86" s="66">
        <f t="shared" si="106"/>
        <v>0</v>
      </c>
      <c r="BK86" s="66">
        <f t="shared" si="106"/>
        <v>0</v>
      </c>
      <c r="BL86" s="66">
        <f t="shared" si="106"/>
        <v>0</v>
      </c>
      <c r="BM86" s="66">
        <f t="shared" si="106"/>
        <v>0</v>
      </c>
      <c r="BN86" s="66">
        <f t="shared" si="106"/>
        <v>0</v>
      </c>
      <c r="BO86" s="66"/>
      <c r="BP86" s="66">
        <f t="shared" si="94"/>
        <v>0</v>
      </c>
      <c r="BQ86" s="66">
        <f t="shared" si="95"/>
        <v>0</v>
      </c>
      <c r="BR86" s="66">
        <f t="shared" si="96"/>
        <v>0</v>
      </c>
      <c r="BS86" s="66">
        <f t="shared" si="97"/>
        <v>0</v>
      </c>
      <c r="BT86" s="66">
        <f t="shared" si="98"/>
        <v>0</v>
      </c>
    </row>
    <row r="87" spans="1:72" ht="15.75" customHeight="1" outlineLevel="1" x14ac:dyDescent="0.35">
      <c r="A87" s="20"/>
      <c r="B87" s="27"/>
      <c r="C87" s="20" t="str">
        <f t="shared" si="91"/>
        <v># de clientes marketplace % Comissão 3</v>
      </c>
      <c r="D87" s="20"/>
      <c r="E87" s="20"/>
      <c r="F87" s="82">
        <f>'1.Premissas Receitas'!D35</f>
        <v>0</v>
      </c>
      <c r="G87" s="66">
        <f t="shared" ref="G87:AL87" si="107">$F$87*G14</f>
        <v>0</v>
      </c>
      <c r="H87" s="66">
        <f t="shared" si="107"/>
        <v>0</v>
      </c>
      <c r="I87" s="66">
        <f t="shared" si="107"/>
        <v>0</v>
      </c>
      <c r="J87" s="66">
        <f t="shared" si="107"/>
        <v>0</v>
      </c>
      <c r="K87" s="66">
        <f t="shared" si="107"/>
        <v>0</v>
      </c>
      <c r="L87" s="66">
        <f t="shared" si="107"/>
        <v>0</v>
      </c>
      <c r="M87" s="66">
        <f t="shared" si="107"/>
        <v>0</v>
      </c>
      <c r="N87" s="66">
        <f t="shared" si="107"/>
        <v>0</v>
      </c>
      <c r="O87" s="66">
        <f t="shared" si="107"/>
        <v>0</v>
      </c>
      <c r="P87" s="66">
        <f t="shared" si="107"/>
        <v>0</v>
      </c>
      <c r="Q87" s="66">
        <f t="shared" si="107"/>
        <v>0</v>
      </c>
      <c r="R87" s="66">
        <f t="shared" si="107"/>
        <v>0</v>
      </c>
      <c r="S87" s="66">
        <f t="shared" si="107"/>
        <v>0</v>
      </c>
      <c r="T87" s="66">
        <f t="shared" si="107"/>
        <v>0</v>
      </c>
      <c r="U87" s="66">
        <f t="shared" si="107"/>
        <v>0</v>
      </c>
      <c r="V87" s="66">
        <f t="shared" si="107"/>
        <v>0</v>
      </c>
      <c r="W87" s="66">
        <f t="shared" si="107"/>
        <v>0</v>
      </c>
      <c r="X87" s="66">
        <f t="shared" si="107"/>
        <v>0</v>
      </c>
      <c r="Y87" s="66">
        <f t="shared" si="107"/>
        <v>0</v>
      </c>
      <c r="Z87" s="66">
        <f t="shared" si="107"/>
        <v>0</v>
      </c>
      <c r="AA87" s="66">
        <f t="shared" si="107"/>
        <v>0</v>
      </c>
      <c r="AB87" s="66">
        <f t="shared" si="107"/>
        <v>0</v>
      </c>
      <c r="AC87" s="66">
        <f t="shared" si="107"/>
        <v>0</v>
      </c>
      <c r="AD87" s="66">
        <f t="shared" si="107"/>
        <v>0</v>
      </c>
      <c r="AE87" s="66">
        <f t="shared" si="107"/>
        <v>0</v>
      </c>
      <c r="AF87" s="66">
        <f t="shared" si="107"/>
        <v>0</v>
      </c>
      <c r="AG87" s="66">
        <f t="shared" si="107"/>
        <v>0</v>
      </c>
      <c r="AH87" s="66">
        <f t="shared" si="107"/>
        <v>0</v>
      </c>
      <c r="AI87" s="66">
        <f t="shared" si="107"/>
        <v>0</v>
      </c>
      <c r="AJ87" s="66">
        <f t="shared" si="107"/>
        <v>0</v>
      </c>
      <c r="AK87" s="66">
        <f t="shared" si="107"/>
        <v>0</v>
      </c>
      <c r="AL87" s="66">
        <f t="shared" si="107"/>
        <v>0</v>
      </c>
      <c r="AM87" s="66">
        <f t="shared" ref="AM87:BN87" si="108">$F$87*AM14</f>
        <v>0</v>
      </c>
      <c r="AN87" s="66">
        <f t="shared" si="108"/>
        <v>0</v>
      </c>
      <c r="AO87" s="66">
        <f t="shared" si="108"/>
        <v>0</v>
      </c>
      <c r="AP87" s="66">
        <f t="shared" si="108"/>
        <v>0</v>
      </c>
      <c r="AQ87" s="66">
        <f t="shared" si="108"/>
        <v>0</v>
      </c>
      <c r="AR87" s="66">
        <f t="shared" si="108"/>
        <v>0</v>
      </c>
      <c r="AS87" s="66">
        <f t="shared" si="108"/>
        <v>0</v>
      </c>
      <c r="AT87" s="66">
        <f t="shared" si="108"/>
        <v>0</v>
      </c>
      <c r="AU87" s="66">
        <f t="shared" si="108"/>
        <v>0</v>
      </c>
      <c r="AV87" s="66">
        <f t="shared" si="108"/>
        <v>0</v>
      </c>
      <c r="AW87" s="66">
        <f t="shared" si="108"/>
        <v>0</v>
      </c>
      <c r="AX87" s="66">
        <f t="shared" si="108"/>
        <v>0</v>
      </c>
      <c r="AY87" s="66">
        <f t="shared" si="108"/>
        <v>0</v>
      </c>
      <c r="AZ87" s="66">
        <f t="shared" si="108"/>
        <v>0</v>
      </c>
      <c r="BA87" s="66">
        <f t="shared" si="108"/>
        <v>0</v>
      </c>
      <c r="BB87" s="66">
        <f t="shared" si="108"/>
        <v>0</v>
      </c>
      <c r="BC87" s="66">
        <f t="shared" si="108"/>
        <v>0</v>
      </c>
      <c r="BD87" s="66">
        <f t="shared" si="108"/>
        <v>0</v>
      </c>
      <c r="BE87" s="66">
        <f t="shared" si="108"/>
        <v>0</v>
      </c>
      <c r="BF87" s="66">
        <f t="shared" si="108"/>
        <v>0</v>
      </c>
      <c r="BG87" s="66">
        <f t="shared" si="108"/>
        <v>0</v>
      </c>
      <c r="BH87" s="66">
        <f t="shared" si="108"/>
        <v>0</v>
      </c>
      <c r="BI87" s="66">
        <f t="shared" si="108"/>
        <v>0</v>
      </c>
      <c r="BJ87" s="66">
        <f t="shared" si="108"/>
        <v>0</v>
      </c>
      <c r="BK87" s="66">
        <f t="shared" si="108"/>
        <v>0</v>
      </c>
      <c r="BL87" s="66">
        <f t="shared" si="108"/>
        <v>0</v>
      </c>
      <c r="BM87" s="66">
        <f t="shared" si="108"/>
        <v>0</v>
      </c>
      <c r="BN87" s="66">
        <f t="shared" si="108"/>
        <v>0</v>
      </c>
      <c r="BO87" s="66"/>
      <c r="BP87" s="66">
        <f t="shared" si="94"/>
        <v>0</v>
      </c>
      <c r="BQ87" s="66">
        <f t="shared" si="95"/>
        <v>0</v>
      </c>
      <c r="BR87" s="66">
        <f t="shared" si="96"/>
        <v>0</v>
      </c>
      <c r="BS87" s="66">
        <f t="shared" si="97"/>
        <v>0</v>
      </c>
      <c r="BT87" s="66">
        <f t="shared" si="98"/>
        <v>0</v>
      </c>
    </row>
    <row r="88" spans="1:72" ht="15.75" customHeight="1" outlineLevel="1" x14ac:dyDescent="0.35">
      <c r="A88" s="20"/>
      <c r="B88" s="27"/>
      <c r="C88" s="20" t="str">
        <f t="shared" si="91"/>
        <v># de clientes B2B Setup</v>
      </c>
      <c r="D88" s="20"/>
      <c r="E88" s="20"/>
      <c r="F88" s="82">
        <f>'1.Premissas Receitas'!D40</f>
        <v>5000</v>
      </c>
      <c r="G88" s="66">
        <f t="shared" ref="G88:AL88" si="109">$F$88*G15</f>
        <v>6666.666666666667</v>
      </c>
      <c r="H88" s="66">
        <f t="shared" si="109"/>
        <v>6866.6666666666679</v>
      </c>
      <c r="I88" s="66">
        <f t="shared" si="109"/>
        <v>7072.666666666667</v>
      </c>
      <c r="J88" s="66">
        <f t="shared" si="109"/>
        <v>7284.8466666666664</v>
      </c>
      <c r="K88" s="66">
        <f t="shared" si="109"/>
        <v>7503.3920666666663</v>
      </c>
      <c r="L88" s="66">
        <f t="shared" si="109"/>
        <v>7728.4938286666656</v>
      </c>
      <c r="M88" s="66">
        <f t="shared" si="109"/>
        <v>7960.3486435266659</v>
      </c>
      <c r="N88" s="66">
        <f t="shared" si="109"/>
        <v>8199.1591028324656</v>
      </c>
      <c r="O88" s="66">
        <f t="shared" si="109"/>
        <v>8445.1338759174396</v>
      </c>
      <c r="P88" s="66">
        <f t="shared" si="109"/>
        <v>8698.4878921949621</v>
      </c>
      <c r="Q88" s="66">
        <f t="shared" si="109"/>
        <v>8959.4425289608116</v>
      </c>
      <c r="R88" s="66">
        <f t="shared" si="109"/>
        <v>9228.2258048296353</v>
      </c>
      <c r="S88" s="66">
        <f t="shared" si="109"/>
        <v>12919.516126761489</v>
      </c>
      <c r="T88" s="66">
        <f t="shared" si="109"/>
        <v>13307.101610564334</v>
      </c>
      <c r="U88" s="66">
        <f t="shared" si="109"/>
        <v>13706.314658881265</v>
      </c>
      <c r="V88" s="66">
        <f t="shared" si="109"/>
        <v>14117.504098647702</v>
      </c>
      <c r="W88" s="66">
        <f t="shared" si="109"/>
        <v>14541.029221607134</v>
      </c>
      <c r="X88" s="66">
        <f t="shared" si="109"/>
        <v>14977.260098255347</v>
      </c>
      <c r="Y88" s="66">
        <f t="shared" si="109"/>
        <v>15426.577901203007</v>
      </c>
      <c r="Z88" s="66">
        <f t="shared" si="109"/>
        <v>15889.375238239096</v>
      </c>
      <c r="AA88" s="66">
        <f t="shared" si="109"/>
        <v>16366.05649538627</v>
      </c>
      <c r="AB88" s="66">
        <f t="shared" si="109"/>
        <v>16857.038190247858</v>
      </c>
      <c r="AC88" s="66">
        <f t="shared" si="109"/>
        <v>17362.749335955294</v>
      </c>
      <c r="AD88" s="66">
        <f t="shared" si="109"/>
        <v>17883.631816033951</v>
      </c>
      <c r="AE88" s="66">
        <f t="shared" si="109"/>
        <v>23248.721360844134</v>
      </c>
      <c r="AF88" s="66">
        <f t="shared" si="109"/>
        <v>23946.183001669458</v>
      </c>
      <c r="AG88" s="66">
        <f t="shared" si="109"/>
        <v>24664.568491719539</v>
      </c>
      <c r="AH88" s="66">
        <f t="shared" si="109"/>
        <v>25404.505546471126</v>
      </c>
      <c r="AI88" s="66">
        <f t="shared" si="109"/>
        <v>26166.640712865261</v>
      </c>
      <c r="AJ88" s="66">
        <f t="shared" si="109"/>
        <v>26951.639934251216</v>
      </c>
      <c r="AK88" s="66">
        <f t="shared" si="109"/>
        <v>27760.189132278752</v>
      </c>
      <c r="AL88" s="66">
        <f t="shared" si="109"/>
        <v>28592.994806247116</v>
      </c>
      <c r="AM88" s="66">
        <f t="shared" ref="AM88:BN88" si="110">$F$88*AM15</f>
        <v>29450.784650434533</v>
      </c>
      <c r="AN88" s="66">
        <f t="shared" si="110"/>
        <v>30334.308189947566</v>
      </c>
      <c r="AO88" s="66">
        <f t="shared" si="110"/>
        <v>31244.33743564599</v>
      </c>
      <c r="AP88" s="66">
        <f t="shared" si="110"/>
        <v>32181.66755871537</v>
      </c>
      <c r="AQ88" s="66">
        <f t="shared" si="110"/>
        <v>38618.001070458442</v>
      </c>
      <c r="AR88" s="66">
        <f t="shared" si="110"/>
        <v>39776.541102572199</v>
      </c>
      <c r="AS88" s="66">
        <f t="shared" si="110"/>
        <v>40969.837335649368</v>
      </c>
      <c r="AT88" s="66">
        <f t="shared" si="110"/>
        <v>42198.932455718845</v>
      </c>
      <c r="AU88" s="66">
        <f t="shared" si="110"/>
        <v>43464.900429390407</v>
      </c>
      <c r="AV88" s="66">
        <f t="shared" si="110"/>
        <v>44768.847442272127</v>
      </c>
      <c r="AW88" s="66">
        <f t="shared" si="110"/>
        <v>46111.912865540282</v>
      </c>
      <c r="AX88" s="66">
        <f t="shared" si="110"/>
        <v>47495.270251506488</v>
      </c>
      <c r="AY88" s="66">
        <f t="shared" si="110"/>
        <v>48920.128359051683</v>
      </c>
      <c r="AZ88" s="66">
        <f t="shared" si="110"/>
        <v>50387.732209823233</v>
      </c>
      <c r="BA88" s="66">
        <f t="shared" si="110"/>
        <v>51899.364176117924</v>
      </c>
      <c r="BB88" s="66">
        <f t="shared" si="110"/>
        <v>53456.345101401464</v>
      </c>
      <c r="BC88" s="66">
        <f t="shared" si="110"/>
        <v>61474.796866611687</v>
      </c>
      <c r="BD88" s="66">
        <f t="shared" si="110"/>
        <v>63319.040772610038</v>
      </c>
      <c r="BE88" s="66">
        <f t="shared" si="110"/>
        <v>65218.611995788335</v>
      </c>
      <c r="BF88" s="66">
        <f t="shared" si="110"/>
        <v>67175.17035566199</v>
      </c>
      <c r="BG88" s="66">
        <f t="shared" si="110"/>
        <v>69190.425466331857</v>
      </c>
      <c r="BH88" s="66">
        <f t="shared" si="110"/>
        <v>71266.138230321812</v>
      </c>
      <c r="BI88" s="66">
        <f t="shared" si="110"/>
        <v>73404.12237723147</v>
      </c>
      <c r="BJ88" s="66">
        <f t="shared" si="110"/>
        <v>75606.246048548404</v>
      </c>
      <c r="BK88" s="66">
        <f t="shared" si="110"/>
        <v>77874.43343000485</v>
      </c>
      <c r="BL88" s="66">
        <f t="shared" si="110"/>
        <v>80210.666432904996</v>
      </c>
      <c r="BM88" s="66">
        <f t="shared" si="110"/>
        <v>82616.986425892144</v>
      </c>
      <c r="BN88" s="66">
        <f t="shared" si="110"/>
        <v>85095.496018668899</v>
      </c>
      <c r="BO88" s="66"/>
      <c r="BP88" s="66">
        <f t="shared" si="94"/>
        <v>94613.530410261985</v>
      </c>
      <c r="BQ88" s="66">
        <f t="shared" si="95"/>
        <v>170434.63866502128</v>
      </c>
      <c r="BR88" s="66">
        <f t="shared" si="96"/>
        <v>329946.54082109011</v>
      </c>
      <c r="BS88" s="66">
        <f t="shared" si="97"/>
        <v>548067.8127995024</v>
      </c>
      <c r="BT88" s="66">
        <f t="shared" si="98"/>
        <v>872452.13442057639</v>
      </c>
    </row>
    <row r="89" spans="1:72" ht="15.75" customHeight="1" outlineLevel="1" x14ac:dyDescent="0.35">
      <c r="A89" s="20"/>
      <c r="B89" s="27"/>
      <c r="C89" s="20" t="str">
        <f t="shared" si="91"/>
        <v># de clientes B2B Mensalidade</v>
      </c>
      <c r="D89" s="20"/>
      <c r="E89" s="20"/>
      <c r="F89" s="82">
        <f>'1.Premissas Receitas'!D41</f>
        <v>800</v>
      </c>
      <c r="G89" s="66">
        <f t="shared" ref="G89:AL89" si="111">$F$89*G16</f>
        <v>1066.6666666666667</v>
      </c>
      <c r="H89" s="66">
        <f t="shared" si="111"/>
        <v>1098.6666666666667</v>
      </c>
      <c r="I89" s="66">
        <f t="shared" si="111"/>
        <v>1131.6266666666668</v>
      </c>
      <c r="J89" s="66">
        <f t="shared" si="111"/>
        <v>1165.5754666666667</v>
      </c>
      <c r="K89" s="66">
        <f t="shared" si="111"/>
        <v>1200.5427306666666</v>
      </c>
      <c r="L89" s="66">
        <f t="shared" si="111"/>
        <v>1236.5590125866665</v>
      </c>
      <c r="M89" s="66">
        <f t="shared" si="111"/>
        <v>1273.6557829642666</v>
      </c>
      <c r="N89" s="66">
        <f t="shared" si="111"/>
        <v>1311.8654564531946</v>
      </c>
      <c r="O89" s="66">
        <f t="shared" si="111"/>
        <v>1351.2214201467905</v>
      </c>
      <c r="P89" s="66">
        <f t="shared" si="111"/>
        <v>1391.7580627511941</v>
      </c>
      <c r="Q89" s="66">
        <f t="shared" si="111"/>
        <v>1433.5108046337298</v>
      </c>
      <c r="R89" s="66">
        <f t="shared" si="111"/>
        <v>1476.5161287727417</v>
      </c>
      <c r="S89" s="66">
        <f t="shared" si="111"/>
        <v>2067.1225802818385</v>
      </c>
      <c r="T89" s="66">
        <f t="shared" si="111"/>
        <v>2129.1362576902934</v>
      </c>
      <c r="U89" s="66">
        <f t="shared" si="111"/>
        <v>2193.0103454210025</v>
      </c>
      <c r="V89" s="66">
        <f t="shared" si="111"/>
        <v>2258.8006557836325</v>
      </c>
      <c r="W89" s="66">
        <f t="shared" si="111"/>
        <v>2326.5646754571412</v>
      </c>
      <c r="X89" s="66">
        <f t="shared" si="111"/>
        <v>2396.3616157208558</v>
      </c>
      <c r="Y89" s="66">
        <f t="shared" si="111"/>
        <v>2468.2524641924811</v>
      </c>
      <c r="Z89" s="66">
        <f t="shared" si="111"/>
        <v>2542.3000381182555</v>
      </c>
      <c r="AA89" s="66">
        <f t="shared" si="111"/>
        <v>2618.569039261803</v>
      </c>
      <c r="AB89" s="66">
        <f t="shared" si="111"/>
        <v>2697.1261104396572</v>
      </c>
      <c r="AC89" s="66">
        <f t="shared" si="111"/>
        <v>2778.0398937528466</v>
      </c>
      <c r="AD89" s="66">
        <f t="shared" si="111"/>
        <v>2861.3810905654323</v>
      </c>
      <c r="AE89" s="66">
        <f t="shared" si="111"/>
        <v>3719.7954177350616</v>
      </c>
      <c r="AF89" s="66">
        <f t="shared" si="111"/>
        <v>3831.3892802671135</v>
      </c>
      <c r="AG89" s="66">
        <f t="shared" si="111"/>
        <v>3946.3309586751266</v>
      </c>
      <c r="AH89" s="66">
        <f t="shared" si="111"/>
        <v>4064.7208874353801</v>
      </c>
      <c r="AI89" s="66">
        <f t="shared" si="111"/>
        <v>4186.662514058442</v>
      </c>
      <c r="AJ89" s="66">
        <f t="shared" si="111"/>
        <v>4312.2623894801945</v>
      </c>
      <c r="AK89" s="66">
        <f t="shared" si="111"/>
        <v>4441.6302611646006</v>
      </c>
      <c r="AL89" s="66">
        <f t="shared" si="111"/>
        <v>4574.8791689995387</v>
      </c>
      <c r="AM89" s="66">
        <f t="shared" ref="AM89:BN89" si="112">$F$89*AM16</f>
        <v>4712.1255440695249</v>
      </c>
      <c r="AN89" s="66">
        <f t="shared" si="112"/>
        <v>4853.4893103916102</v>
      </c>
      <c r="AO89" s="66">
        <f t="shared" si="112"/>
        <v>4999.0939897033586</v>
      </c>
      <c r="AP89" s="66">
        <f t="shared" si="112"/>
        <v>5149.0668093944596</v>
      </c>
      <c r="AQ89" s="66">
        <f t="shared" si="112"/>
        <v>6178.8801712733512</v>
      </c>
      <c r="AR89" s="66">
        <f t="shared" si="112"/>
        <v>6364.2465764115514</v>
      </c>
      <c r="AS89" s="66">
        <f t="shared" si="112"/>
        <v>6555.1739737038988</v>
      </c>
      <c r="AT89" s="66">
        <f t="shared" si="112"/>
        <v>6751.8291929150155</v>
      </c>
      <c r="AU89" s="66">
        <f t="shared" si="112"/>
        <v>6954.3840687024658</v>
      </c>
      <c r="AV89" s="66">
        <f t="shared" si="112"/>
        <v>7163.0155907635399</v>
      </c>
      <c r="AW89" s="66">
        <f t="shared" si="112"/>
        <v>7377.9060584864455</v>
      </c>
      <c r="AX89" s="66">
        <f t="shared" si="112"/>
        <v>7599.2432402410386</v>
      </c>
      <c r="AY89" s="66">
        <f t="shared" si="112"/>
        <v>7827.2205374482692</v>
      </c>
      <c r="AZ89" s="66">
        <f t="shared" si="112"/>
        <v>8062.0371535717168</v>
      </c>
      <c r="BA89" s="66">
        <f t="shared" si="112"/>
        <v>8303.8982681788675</v>
      </c>
      <c r="BB89" s="66">
        <f t="shared" si="112"/>
        <v>8553.0152162242339</v>
      </c>
      <c r="BC89" s="66">
        <f t="shared" si="112"/>
        <v>9835.9674986578702</v>
      </c>
      <c r="BD89" s="66">
        <f t="shared" si="112"/>
        <v>10131.046523617606</v>
      </c>
      <c r="BE89" s="66">
        <f t="shared" si="112"/>
        <v>10434.977919326135</v>
      </c>
      <c r="BF89" s="66">
        <f t="shared" si="112"/>
        <v>10748.027256905918</v>
      </c>
      <c r="BG89" s="66">
        <f t="shared" si="112"/>
        <v>11070.468074613096</v>
      </c>
      <c r="BH89" s="66">
        <f t="shared" si="112"/>
        <v>11402.58211685149</v>
      </c>
      <c r="BI89" s="66">
        <f t="shared" si="112"/>
        <v>11744.659580357034</v>
      </c>
      <c r="BJ89" s="66">
        <f t="shared" si="112"/>
        <v>12096.999367767745</v>
      </c>
      <c r="BK89" s="66">
        <f t="shared" si="112"/>
        <v>12459.909348800777</v>
      </c>
      <c r="BL89" s="66">
        <f t="shared" si="112"/>
        <v>12833.7066292648</v>
      </c>
      <c r="BM89" s="66">
        <f t="shared" si="112"/>
        <v>13218.717828142744</v>
      </c>
      <c r="BN89" s="66">
        <f t="shared" si="112"/>
        <v>13615.279362987025</v>
      </c>
      <c r="BO89" s="66"/>
      <c r="BP89" s="66">
        <f t="shared" si="94"/>
        <v>15138.164865641918</v>
      </c>
      <c r="BQ89" s="66">
        <f t="shared" si="95"/>
        <v>27269.542186403403</v>
      </c>
      <c r="BR89" s="66">
        <f t="shared" si="96"/>
        <v>52791.446531374415</v>
      </c>
      <c r="BS89" s="66">
        <f t="shared" si="97"/>
        <v>87690.850047920379</v>
      </c>
      <c r="BT89" s="66">
        <f t="shared" si="98"/>
        <v>139592.34150729224</v>
      </c>
    </row>
    <row r="90" spans="1:72" ht="15.75" customHeight="1" outlineLevel="1" x14ac:dyDescent="0.35">
      <c r="A90" s="27"/>
      <c r="B90" s="27"/>
      <c r="C90" s="20" t="str">
        <f t="shared" si="91"/>
        <v># de clientes B2B Manutenção</v>
      </c>
      <c r="D90" s="27"/>
      <c r="E90" s="27"/>
      <c r="F90" s="82">
        <f>'1.Premissas Receitas'!D42</f>
        <v>0</v>
      </c>
      <c r="G90" s="66">
        <f t="shared" ref="G90:AL90" si="113">$F$90*G17</f>
        <v>0</v>
      </c>
      <c r="H90" s="66">
        <f t="shared" si="113"/>
        <v>0</v>
      </c>
      <c r="I90" s="66">
        <f t="shared" si="113"/>
        <v>0</v>
      </c>
      <c r="J90" s="66">
        <f t="shared" si="113"/>
        <v>0</v>
      </c>
      <c r="K90" s="66">
        <f t="shared" si="113"/>
        <v>0</v>
      </c>
      <c r="L90" s="66">
        <f t="shared" si="113"/>
        <v>0</v>
      </c>
      <c r="M90" s="66">
        <f t="shared" si="113"/>
        <v>0</v>
      </c>
      <c r="N90" s="66">
        <f t="shared" si="113"/>
        <v>0</v>
      </c>
      <c r="O90" s="66">
        <f t="shared" si="113"/>
        <v>0</v>
      </c>
      <c r="P90" s="66">
        <f t="shared" si="113"/>
        <v>0</v>
      </c>
      <c r="Q90" s="66">
        <f t="shared" si="113"/>
        <v>0</v>
      </c>
      <c r="R90" s="66">
        <f t="shared" si="113"/>
        <v>0</v>
      </c>
      <c r="S90" s="66">
        <f t="shared" si="113"/>
        <v>0</v>
      </c>
      <c r="T90" s="66">
        <f t="shared" si="113"/>
        <v>0</v>
      </c>
      <c r="U90" s="66">
        <f t="shared" si="113"/>
        <v>0</v>
      </c>
      <c r="V90" s="66">
        <f t="shared" si="113"/>
        <v>0</v>
      </c>
      <c r="W90" s="66">
        <f t="shared" si="113"/>
        <v>0</v>
      </c>
      <c r="X90" s="66">
        <f t="shared" si="113"/>
        <v>0</v>
      </c>
      <c r="Y90" s="66">
        <f t="shared" si="113"/>
        <v>0</v>
      </c>
      <c r="Z90" s="66">
        <f t="shared" si="113"/>
        <v>0</v>
      </c>
      <c r="AA90" s="66">
        <f t="shared" si="113"/>
        <v>0</v>
      </c>
      <c r="AB90" s="66">
        <f t="shared" si="113"/>
        <v>0</v>
      </c>
      <c r="AC90" s="66">
        <f t="shared" si="113"/>
        <v>0</v>
      </c>
      <c r="AD90" s="66">
        <f t="shared" si="113"/>
        <v>0</v>
      </c>
      <c r="AE90" s="66">
        <f t="shared" si="113"/>
        <v>0</v>
      </c>
      <c r="AF90" s="66">
        <f t="shared" si="113"/>
        <v>0</v>
      </c>
      <c r="AG90" s="66">
        <f t="shared" si="113"/>
        <v>0</v>
      </c>
      <c r="AH90" s="66">
        <f t="shared" si="113"/>
        <v>0</v>
      </c>
      <c r="AI90" s="66">
        <f t="shared" si="113"/>
        <v>0</v>
      </c>
      <c r="AJ90" s="66">
        <f t="shared" si="113"/>
        <v>0</v>
      </c>
      <c r="AK90" s="66">
        <f t="shared" si="113"/>
        <v>0</v>
      </c>
      <c r="AL90" s="66">
        <f t="shared" si="113"/>
        <v>0</v>
      </c>
      <c r="AM90" s="66">
        <f t="shared" ref="AM90:BN90" si="114">$F$90*AM17</f>
        <v>0</v>
      </c>
      <c r="AN90" s="66">
        <f t="shared" si="114"/>
        <v>0</v>
      </c>
      <c r="AO90" s="66">
        <f t="shared" si="114"/>
        <v>0</v>
      </c>
      <c r="AP90" s="66">
        <f t="shared" si="114"/>
        <v>0</v>
      </c>
      <c r="AQ90" s="66">
        <f t="shared" si="114"/>
        <v>0</v>
      </c>
      <c r="AR90" s="66">
        <f t="shared" si="114"/>
        <v>0</v>
      </c>
      <c r="AS90" s="66">
        <f t="shared" si="114"/>
        <v>0</v>
      </c>
      <c r="AT90" s="66">
        <f t="shared" si="114"/>
        <v>0</v>
      </c>
      <c r="AU90" s="66">
        <f t="shared" si="114"/>
        <v>0</v>
      </c>
      <c r="AV90" s="66">
        <f t="shared" si="114"/>
        <v>0</v>
      </c>
      <c r="AW90" s="66">
        <f t="shared" si="114"/>
        <v>0</v>
      </c>
      <c r="AX90" s="66">
        <f t="shared" si="114"/>
        <v>0</v>
      </c>
      <c r="AY90" s="66">
        <f t="shared" si="114"/>
        <v>0</v>
      </c>
      <c r="AZ90" s="66">
        <f t="shared" si="114"/>
        <v>0</v>
      </c>
      <c r="BA90" s="66">
        <f t="shared" si="114"/>
        <v>0</v>
      </c>
      <c r="BB90" s="66">
        <f t="shared" si="114"/>
        <v>0</v>
      </c>
      <c r="BC90" s="66">
        <f t="shared" si="114"/>
        <v>0</v>
      </c>
      <c r="BD90" s="66">
        <f t="shared" si="114"/>
        <v>0</v>
      </c>
      <c r="BE90" s="66">
        <f t="shared" si="114"/>
        <v>0</v>
      </c>
      <c r="BF90" s="66">
        <f t="shared" si="114"/>
        <v>0</v>
      </c>
      <c r="BG90" s="66">
        <f t="shared" si="114"/>
        <v>0</v>
      </c>
      <c r="BH90" s="66">
        <f t="shared" si="114"/>
        <v>0</v>
      </c>
      <c r="BI90" s="66">
        <f t="shared" si="114"/>
        <v>0</v>
      </c>
      <c r="BJ90" s="66">
        <f t="shared" si="114"/>
        <v>0</v>
      </c>
      <c r="BK90" s="66">
        <f t="shared" si="114"/>
        <v>0</v>
      </c>
      <c r="BL90" s="66">
        <f t="shared" si="114"/>
        <v>0</v>
      </c>
      <c r="BM90" s="66">
        <f t="shared" si="114"/>
        <v>0</v>
      </c>
      <c r="BN90" s="66">
        <f t="shared" si="114"/>
        <v>0</v>
      </c>
      <c r="BO90" s="66"/>
      <c r="BP90" s="66">
        <f t="shared" si="94"/>
        <v>0</v>
      </c>
      <c r="BQ90" s="66">
        <f t="shared" si="95"/>
        <v>0</v>
      </c>
      <c r="BR90" s="66">
        <f t="shared" si="96"/>
        <v>0</v>
      </c>
      <c r="BS90" s="66">
        <f t="shared" si="97"/>
        <v>0</v>
      </c>
      <c r="BT90" s="66">
        <f t="shared" si="98"/>
        <v>0</v>
      </c>
    </row>
    <row r="91" spans="1:72" ht="15.75" customHeight="1" outlineLevel="1" x14ac:dyDescent="0.35">
      <c r="A91" s="27"/>
      <c r="B91" s="27"/>
      <c r="C91" s="63" t="str">
        <f t="shared" si="91"/>
        <v># de clientes Conteudo/ Paywall 1</v>
      </c>
      <c r="D91" s="27"/>
      <c r="E91" s="27"/>
      <c r="F91" s="82">
        <f>'1.Premissas Receitas'!D48</f>
        <v>0</v>
      </c>
      <c r="G91" s="66">
        <f t="shared" ref="G91:AL91" si="115">$F$91*G18</f>
        <v>0</v>
      </c>
      <c r="H91" s="66">
        <f t="shared" si="115"/>
        <v>0</v>
      </c>
      <c r="I91" s="66">
        <f t="shared" si="115"/>
        <v>0</v>
      </c>
      <c r="J91" s="66">
        <f t="shared" si="115"/>
        <v>0</v>
      </c>
      <c r="K91" s="66">
        <f t="shared" si="115"/>
        <v>0</v>
      </c>
      <c r="L91" s="66">
        <f t="shared" si="115"/>
        <v>0</v>
      </c>
      <c r="M91" s="66">
        <f t="shared" si="115"/>
        <v>0</v>
      </c>
      <c r="N91" s="66">
        <f t="shared" si="115"/>
        <v>0</v>
      </c>
      <c r="O91" s="66">
        <f t="shared" si="115"/>
        <v>0</v>
      </c>
      <c r="P91" s="66">
        <f t="shared" si="115"/>
        <v>0</v>
      </c>
      <c r="Q91" s="66">
        <f t="shared" si="115"/>
        <v>0</v>
      </c>
      <c r="R91" s="66">
        <f t="shared" si="115"/>
        <v>0</v>
      </c>
      <c r="S91" s="66">
        <f t="shared" si="115"/>
        <v>0</v>
      </c>
      <c r="T91" s="66">
        <f t="shared" si="115"/>
        <v>0</v>
      </c>
      <c r="U91" s="66">
        <f t="shared" si="115"/>
        <v>0</v>
      </c>
      <c r="V91" s="66">
        <f t="shared" si="115"/>
        <v>0</v>
      </c>
      <c r="W91" s="66">
        <f t="shared" si="115"/>
        <v>0</v>
      </c>
      <c r="X91" s="66">
        <f t="shared" si="115"/>
        <v>0</v>
      </c>
      <c r="Y91" s="66">
        <f t="shared" si="115"/>
        <v>0</v>
      </c>
      <c r="Z91" s="66">
        <f t="shared" si="115"/>
        <v>0</v>
      </c>
      <c r="AA91" s="66">
        <f t="shared" si="115"/>
        <v>0</v>
      </c>
      <c r="AB91" s="66">
        <f t="shared" si="115"/>
        <v>0</v>
      </c>
      <c r="AC91" s="66">
        <f t="shared" si="115"/>
        <v>0</v>
      </c>
      <c r="AD91" s="66">
        <f t="shared" si="115"/>
        <v>0</v>
      </c>
      <c r="AE91" s="66">
        <f t="shared" si="115"/>
        <v>0</v>
      </c>
      <c r="AF91" s="66">
        <f t="shared" si="115"/>
        <v>0</v>
      </c>
      <c r="AG91" s="66">
        <f t="shared" si="115"/>
        <v>0</v>
      </c>
      <c r="AH91" s="66">
        <f t="shared" si="115"/>
        <v>0</v>
      </c>
      <c r="AI91" s="66">
        <f t="shared" si="115"/>
        <v>0</v>
      </c>
      <c r="AJ91" s="66">
        <f t="shared" si="115"/>
        <v>0</v>
      </c>
      <c r="AK91" s="66">
        <f t="shared" si="115"/>
        <v>0</v>
      </c>
      <c r="AL91" s="66">
        <f t="shared" si="115"/>
        <v>0</v>
      </c>
      <c r="AM91" s="66">
        <f t="shared" ref="AM91:BN91" si="116">$F$91*AM18</f>
        <v>0</v>
      </c>
      <c r="AN91" s="66">
        <f t="shared" si="116"/>
        <v>0</v>
      </c>
      <c r="AO91" s="66">
        <f t="shared" si="116"/>
        <v>0</v>
      </c>
      <c r="AP91" s="66">
        <f t="shared" si="116"/>
        <v>0</v>
      </c>
      <c r="AQ91" s="66">
        <f t="shared" si="116"/>
        <v>0</v>
      </c>
      <c r="AR91" s="66">
        <f t="shared" si="116"/>
        <v>0</v>
      </c>
      <c r="AS91" s="66">
        <f t="shared" si="116"/>
        <v>0</v>
      </c>
      <c r="AT91" s="66">
        <f t="shared" si="116"/>
        <v>0</v>
      </c>
      <c r="AU91" s="66">
        <f t="shared" si="116"/>
        <v>0</v>
      </c>
      <c r="AV91" s="66">
        <f t="shared" si="116"/>
        <v>0</v>
      </c>
      <c r="AW91" s="66">
        <f t="shared" si="116"/>
        <v>0</v>
      </c>
      <c r="AX91" s="66">
        <f t="shared" si="116"/>
        <v>0</v>
      </c>
      <c r="AY91" s="66">
        <f t="shared" si="116"/>
        <v>0</v>
      </c>
      <c r="AZ91" s="66">
        <f t="shared" si="116"/>
        <v>0</v>
      </c>
      <c r="BA91" s="66">
        <f t="shared" si="116"/>
        <v>0</v>
      </c>
      <c r="BB91" s="66">
        <f t="shared" si="116"/>
        <v>0</v>
      </c>
      <c r="BC91" s="66">
        <f t="shared" si="116"/>
        <v>0</v>
      </c>
      <c r="BD91" s="66">
        <f t="shared" si="116"/>
        <v>0</v>
      </c>
      <c r="BE91" s="66">
        <f t="shared" si="116"/>
        <v>0</v>
      </c>
      <c r="BF91" s="66">
        <f t="shared" si="116"/>
        <v>0</v>
      </c>
      <c r="BG91" s="66">
        <f t="shared" si="116"/>
        <v>0</v>
      </c>
      <c r="BH91" s="66">
        <f t="shared" si="116"/>
        <v>0</v>
      </c>
      <c r="BI91" s="66">
        <f t="shared" si="116"/>
        <v>0</v>
      </c>
      <c r="BJ91" s="66">
        <f t="shared" si="116"/>
        <v>0</v>
      </c>
      <c r="BK91" s="66">
        <f t="shared" si="116"/>
        <v>0</v>
      </c>
      <c r="BL91" s="66">
        <f t="shared" si="116"/>
        <v>0</v>
      </c>
      <c r="BM91" s="66">
        <f t="shared" si="116"/>
        <v>0</v>
      </c>
      <c r="BN91" s="66">
        <f t="shared" si="116"/>
        <v>0</v>
      </c>
      <c r="BO91" s="66"/>
      <c r="BP91" s="66">
        <f t="shared" si="94"/>
        <v>0</v>
      </c>
      <c r="BQ91" s="66">
        <f t="shared" si="95"/>
        <v>0</v>
      </c>
      <c r="BR91" s="66">
        <f t="shared" si="96"/>
        <v>0</v>
      </c>
      <c r="BS91" s="66">
        <f t="shared" si="97"/>
        <v>0</v>
      </c>
      <c r="BT91" s="66">
        <f t="shared" si="98"/>
        <v>0</v>
      </c>
    </row>
    <row r="92" spans="1:72" ht="15.75" customHeight="1" outlineLevel="1" x14ac:dyDescent="0.35">
      <c r="A92" s="27"/>
      <c r="B92" s="27"/>
      <c r="C92" s="63" t="str">
        <f t="shared" si="91"/>
        <v># de clientes Conteudo/ Paywall 2</v>
      </c>
      <c r="D92" s="27"/>
      <c r="E92" s="27"/>
      <c r="F92" s="82">
        <f>'1.Premissas Receitas'!D49</f>
        <v>0</v>
      </c>
      <c r="G92" s="66">
        <f t="shared" ref="G92:AL92" si="117">$F$92*G19</f>
        <v>0</v>
      </c>
      <c r="H92" s="66">
        <f t="shared" si="117"/>
        <v>0</v>
      </c>
      <c r="I92" s="66">
        <f t="shared" si="117"/>
        <v>0</v>
      </c>
      <c r="J92" s="66">
        <f t="shared" si="117"/>
        <v>0</v>
      </c>
      <c r="K92" s="66">
        <f t="shared" si="117"/>
        <v>0</v>
      </c>
      <c r="L92" s="66">
        <f t="shared" si="117"/>
        <v>0</v>
      </c>
      <c r="M92" s="66">
        <f t="shared" si="117"/>
        <v>0</v>
      </c>
      <c r="N92" s="66">
        <f t="shared" si="117"/>
        <v>0</v>
      </c>
      <c r="O92" s="66">
        <f t="shared" si="117"/>
        <v>0</v>
      </c>
      <c r="P92" s="66">
        <f t="shared" si="117"/>
        <v>0</v>
      </c>
      <c r="Q92" s="66">
        <f t="shared" si="117"/>
        <v>0</v>
      </c>
      <c r="R92" s="66">
        <f t="shared" si="117"/>
        <v>0</v>
      </c>
      <c r="S92" s="66">
        <f t="shared" si="117"/>
        <v>0</v>
      </c>
      <c r="T92" s="66">
        <f t="shared" si="117"/>
        <v>0</v>
      </c>
      <c r="U92" s="66">
        <f t="shared" si="117"/>
        <v>0</v>
      </c>
      <c r="V92" s="66">
        <f t="shared" si="117"/>
        <v>0</v>
      </c>
      <c r="W92" s="66">
        <f t="shared" si="117"/>
        <v>0</v>
      </c>
      <c r="X92" s="66">
        <f t="shared" si="117"/>
        <v>0</v>
      </c>
      <c r="Y92" s="66">
        <f t="shared" si="117"/>
        <v>0</v>
      </c>
      <c r="Z92" s="66">
        <f t="shared" si="117"/>
        <v>0</v>
      </c>
      <c r="AA92" s="66">
        <f t="shared" si="117"/>
        <v>0</v>
      </c>
      <c r="AB92" s="66">
        <f t="shared" si="117"/>
        <v>0</v>
      </c>
      <c r="AC92" s="66">
        <f t="shared" si="117"/>
        <v>0</v>
      </c>
      <c r="AD92" s="66">
        <f t="shared" si="117"/>
        <v>0</v>
      </c>
      <c r="AE92" s="66">
        <f t="shared" si="117"/>
        <v>0</v>
      </c>
      <c r="AF92" s="66">
        <f t="shared" si="117"/>
        <v>0</v>
      </c>
      <c r="AG92" s="66">
        <f t="shared" si="117"/>
        <v>0</v>
      </c>
      <c r="AH92" s="66">
        <f t="shared" si="117"/>
        <v>0</v>
      </c>
      <c r="AI92" s="66">
        <f t="shared" si="117"/>
        <v>0</v>
      </c>
      <c r="AJ92" s="66">
        <f t="shared" si="117"/>
        <v>0</v>
      </c>
      <c r="AK92" s="66">
        <f t="shared" si="117"/>
        <v>0</v>
      </c>
      <c r="AL92" s="66">
        <f t="shared" si="117"/>
        <v>0</v>
      </c>
      <c r="AM92" s="66">
        <f t="shared" ref="AM92:BN92" si="118">$F$92*AM19</f>
        <v>0</v>
      </c>
      <c r="AN92" s="66">
        <f t="shared" si="118"/>
        <v>0</v>
      </c>
      <c r="AO92" s="66">
        <f t="shared" si="118"/>
        <v>0</v>
      </c>
      <c r="AP92" s="66">
        <f t="shared" si="118"/>
        <v>0</v>
      </c>
      <c r="AQ92" s="66">
        <f t="shared" si="118"/>
        <v>0</v>
      </c>
      <c r="AR92" s="66">
        <f t="shared" si="118"/>
        <v>0</v>
      </c>
      <c r="AS92" s="66">
        <f t="shared" si="118"/>
        <v>0</v>
      </c>
      <c r="AT92" s="66">
        <f t="shared" si="118"/>
        <v>0</v>
      </c>
      <c r="AU92" s="66">
        <f t="shared" si="118"/>
        <v>0</v>
      </c>
      <c r="AV92" s="66">
        <f t="shared" si="118"/>
        <v>0</v>
      </c>
      <c r="AW92" s="66">
        <f t="shared" si="118"/>
        <v>0</v>
      </c>
      <c r="AX92" s="66">
        <f t="shared" si="118"/>
        <v>0</v>
      </c>
      <c r="AY92" s="66">
        <f t="shared" si="118"/>
        <v>0</v>
      </c>
      <c r="AZ92" s="66">
        <f t="shared" si="118"/>
        <v>0</v>
      </c>
      <c r="BA92" s="66">
        <f t="shared" si="118"/>
        <v>0</v>
      </c>
      <c r="BB92" s="66">
        <f t="shared" si="118"/>
        <v>0</v>
      </c>
      <c r="BC92" s="66">
        <f t="shared" si="118"/>
        <v>0</v>
      </c>
      <c r="BD92" s="66">
        <f t="shared" si="118"/>
        <v>0</v>
      </c>
      <c r="BE92" s="66">
        <f t="shared" si="118"/>
        <v>0</v>
      </c>
      <c r="BF92" s="66">
        <f t="shared" si="118"/>
        <v>0</v>
      </c>
      <c r="BG92" s="66">
        <f t="shared" si="118"/>
        <v>0</v>
      </c>
      <c r="BH92" s="66">
        <f t="shared" si="118"/>
        <v>0</v>
      </c>
      <c r="BI92" s="66">
        <f t="shared" si="118"/>
        <v>0</v>
      </c>
      <c r="BJ92" s="66">
        <f t="shared" si="118"/>
        <v>0</v>
      </c>
      <c r="BK92" s="66">
        <f t="shared" si="118"/>
        <v>0</v>
      </c>
      <c r="BL92" s="66">
        <f t="shared" si="118"/>
        <v>0</v>
      </c>
      <c r="BM92" s="66">
        <f t="shared" si="118"/>
        <v>0</v>
      </c>
      <c r="BN92" s="66">
        <f t="shared" si="118"/>
        <v>0</v>
      </c>
      <c r="BO92" s="66"/>
      <c r="BP92" s="66">
        <f t="shared" si="94"/>
        <v>0</v>
      </c>
      <c r="BQ92" s="66">
        <f t="shared" si="95"/>
        <v>0</v>
      </c>
      <c r="BR92" s="66">
        <f t="shared" si="96"/>
        <v>0</v>
      </c>
      <c r="BS92" s="66">
        <f t="shared" si="97"/>
        <v>0</v>
      </c>
      <c r="BT92" s="66">
        <f t="shared" si="98"/>
        <v>0</v>
      </c>
    </row>
    <row r="93" spans="1:72" ht="15.75" customHeight="1" outlineLevel="1" x14ac:dyDescent="0.35">
      <c r="A93" s="27"/>
      <c r="B93" s="27"/>
      <c r="C93" s="63" t="str">
        <f t="shared" si="91"/>
        <v># de clientes Conteudo/ Paywall 3</v>
      </c>
      <c r="D93" s="27"/>
      <c r="E93" s="27"/>
      <c r="F93" s="82">
        <f>'1.Premissas Receitas'!D50</f>
        <v>0</v>
      </c>
      <c r="G93" s="66">
        <f t="shared" ref="G93:AL93" si="119">$F$93*G20</f>
        <v>0</v>
      </c>
      <c r="H93" s="66">
        <f t="shared" si="119"/>
        <v>0</v>
      </c>
      <c r="I93" s="66">
        <f t="shared" si="119"/>
        <v>0</v>
      </c>
      <c r="J93" s="66">
        <f t="shared" si="119"/>
        <v>0</v>
      </c>
      <c r="K93" s="66">
        <f t="shared" si="119"/>
        <v>0</v>
      </c>
      <c r="L93" s="66">
        <f t="shared" si="119"/>
        <v>0</v>
      </c>
      <c r="M93" s="66">
        <f t="shared" si="119"/>
        <v>0</v>
      </c>
      <c r="N93" s="66">
        <f t="shared" si="119"/>
        <v>0</v>
      </c>
      <c r="O93" s="66">
        <f t="shared" si="119"/>
        <v>0</v>
      </c>
      <c r="P93" s="66">
        <f t="shared" si="119"/>
        <v>0</v>
      </c>
      <c r="Q93" s="66">
        <f t="shared" si="119"/>
        <v>0</v>
      </c>
      <c r="R93" s="66">
        <f t="shared" si="119"/>
        <v>0</v>
      </c>
      <c r="S93" s="66">
        <f t="shared" si="119"/>
        <v>0</v>
      </c>
      <c r="T93" s="66">
        <f t="shared" si="119"/>
        <v>0</v>
      </c>
      <c r="U93" s="66">
        <f t="shared" si="119"/>
        <v>0</v>
      </c>
      <c r="V93" s="66">
        <f t="shared" si="119"/>
        <v>0</v>
      </c>
      <c r="W93" s="66">
        <f t="shared" si="119"/>
        <v>0</v>
      </c>
      <c r="X93" s="66">
        <f t="shared" si="119"/>
        <v>0</v>
      </c>
      <c r="Y93" s="66">
        <f t="shared" si="119"/>
        <v>0</v>
      </c>
      <c r="Z93" s="66">
        <f t="shared" si="119"/>
        <v>0</v>
      </c>
      <c r="AA93" s="66">
        <f t="shared" si="119"/>
        <v>0</v>
      </c>
      <c r="AB93" s="66">
        <f t="shared" si="119"/>
        <v>0</v>
      </c>
      <c r="AC93" s="66">
        <f t="shared" si="119"/>
        <v>0</v>
      </c>
      <c r="AD93" s="66">
        <f t="shared" si="119"/>
        <v>0</v>
      </c>
      <c r="AE93" s="66">
        <f t="shared" si="119"/>
        <v>0</v>
      </c>
      <c r="AF93" s="66">
        <f t="shared" si="119"/>
        <v>0</v>
      </c>
      <c r="AG93" s="66">
        <f t="shared" si="119"/>
        <v>0</v>
      </c>
      <c r="AH93" s="66">
        <f t="shared" si="119"/>
        <v>0</v>
      </c>
      <c r="AI93" s="66">
        <f t="shared" si="119"/>
        <v>0</v>
      </c>
      <c r="AJ93" s="66">
        <f t="shared" si="119"/>
        <v>0</v>
      </c>
      <c r="AK93" s="66">
        <f t="shared" si="119"/>
        <v>0</v>
      </c>
      <c r="AL93" s="66">
        <f t="shared" si="119"/>
        <v>0</v>
      </c>
      <c r="AM93" s="66">
        <f t="shared" ref="AM93:BN93" si="120">$F$93*AM20</f>
        <v>0</v>
      </c>
      <c r="AN93" s="66">
        <f t="shared" si="120"/>
        <v>0</v>
      </c>
      <c r="AO93" s="66">
        <f t="shared" si="120"/>
        <v>0</v>
      </c>
      <c r="AP93" s="66">
        <f t="shared" si="120"/>
        <v>0</v>
      </c>
      <c r="AQ93" s="66">
        <f t="shared" si="120"/>
        <v>0</v>
      </c>
      <c r="AR93" s="66">
        <f t="shared" si="120"/>
        <v>0</v>
      </c>
      <c r="AS93" s="66">
        <f t="shared" si="120"/>
        <v>0</v>
      </c>
      <c r="AT93" s="66">
        <f t="shared" si="120"/>
        <v>0</v>
      </c>
      <c r="AU93" s="66">
        <f t="shared" si="120"/>
        <v>0</v>
      </c>
      <c r="AV93" s="66">
        <f t="shared" si="120"/>
        <v>0</v>
      </c>
      <c r="AW93" s="66">
        <f t="shared" si="120"/>
        <v>0</v>
      </c>
      <c r="AX93" s="66">
        <f t="shared" si="120"/>
        <v>0</v>
      </c>
      <c r="AY93" s="66">
        <f t="shared" si="120"/>
        <v>0</v>
      </c>
      <c r="AZ93" s="66">
        <f t="shared" si="120"/>
        <v>0</v>
      </c>
      <c r="BA93" s="66">
        <f t="shared" si="120"/>
        <v>0</v>
      </c>
      <c r="BB93" s="66">
        <f t="shared" si="120"/>
        <v>0</v>
      </c>
      <c r="BC93" s="66">
        <f t="shared" si="120"/>
        <v>0</v>
      </c>
      <c r="BD93" s="66">
        <f t="shared" si="120"/>
        <v>0</v>
      </c>
      <c r="BE93" s="66">
        <f t="shared" si="120"/>
        <v>0</v>
      </c>
      <c r="BF93" s="66">
        <f t="shared" si="120"/>
        <v>0</v>
      </c>
      <c r="BG93" s="66">
        <f t="shared" si="120"/>
        <v>0</v>
      </c>
      <c r="BH93" s="66">
        <f t="shared" si="120"/>
        <v>0</v>
      </c>
      <c r="BI93" s="66">
        <f t="shared" si="120"/>
        <v>0</v>
      </c>
      <c r="BJ93" s="66">
        <f t="shared" si="120"/>
        <v>0</v>
      </c>
      <c r="BK93" s="66">
        <f t="shared" si="120"/>
        <v>0</v>
      </c>
      <c r="BL93" s="66">
        <f t="shared" si="120"/>
        <v>0</v>
      </c>
      <c r="BM93" s="66">
        <f t="shared" si="120"/>
        <v>0</v>
      </c>
      <c r="BN93" s="66">
        <f t="shared" si="120"/>
        <v>0</v>
      </c>
      <c r="BO93" s="66"/>
      <c r="BP93" s="66">
        <f t="shared" si="94"/>
        <v>0</v>
      </c>
      <c r="BQ93" s="66">
        <f t="shared" si="95"/>
        <v>0</v>
      </c>
      <c r="BR93" s="66">
        <f t="shared" si="96"/>
        <v>0</v>
      </c>
      <c r="BS93" s="66">
        <f t="shared" si="97"/>
        <v>0</v>
      </c>
      <c r="BT93" s="66">
        <f t="shared" si="98"/>
        <v>0</v>
      </c>
    </row>
    <row r="94" spans="1:72" ht="15.75" customHeight="1" outlineLevel="1" x14ac:dyDescent="0.35">
      <c r="A94" s="27"/>
      <c r="B94" s="27"/>
      <c r="C94" s="63" t="str">
        <f t="shared" si="91"/>
        <v># de clientes publicidade Produto/Serviço 1</v>
      </c>
      <c r="D94" s="27"/>
      <c r="E94" s="27"/>
      <c r="F94" s="82">
        <f>'1.Premissas Receitas'!D56</f>
        <v>0</v>
      </c>
      <c r="G94" s="66">
        <f t="shared" ref="G94:AL94" si="121">$F$94*G21</f>
        <v>0</v>
      </c>
      <c r="H94" s="66">
        <f t="shared" si="121"/>
        <v>0</v>
      </c>
      <c r="I94" s="66">
        <f t="shared" si="121"/>
        <v>0</v>
      </c>
      <c r="J94" s="66">
        <f t="shared" si="121"/>
        <v>0</v>
      </c>
      <c r="K94" s="66">
        <f t="shared" si="121"/>
        <v>0</v>
      </c>
      <c r="L94" s="66">
        <f t="shared" si="121"/>
        <v>0</v>
      </c>
      <c r="M94" s="66">
        <f t="shared" si="121"/>
        <v>0</v>
      </c>
      <c r="N94" s="66">
        <f t="shared" si="121"/>
        <v>0</v>
      </c>
      <c r="O94" s="66">
        <f t="shared" si="121"/>
        <v>0</v>
      </c>
      <c r="P94" s="66">
        <f t="shared" si="121"/>
        <v>0</v>
      </c>
      <c r="Q94" s="66">
        <f t="shared" si="121"/>
        <v>0</v>
      </c>
      <c r="R94" s="66">
        <f t="shared" si="121"/>
        <v>0</v>
      </c>
      <c r="S94" s="66">
        <f t="shared" si="121"/>
        <v>0</v>
      </c>
      <c r="T94" s="66">
        <f t="shared" si="121"/>
        <v>0</v>
      </c>
      <c r="U94" s="66">
        <f t="shared" si="121"/>
        <v>0</v>
      </c>
      <c r="V94" s="66">
        <f t="shared" si="121"/>
        <v>0</v>
      </c>
      <c r="W94" s="66">
        <f t="shared" si="121"/>
        <v>0</v>
      </c>
      <c r="X94" s="66">
        <f t="shared" si="121"/>
        <v>0</v>
      </c>
      <c r="Y94" s="66">
        <f t="shared" si="121"/>
        <v>0</v>
      </c>
      <c r="Z94" s="66">
        <f t="shared" si="121"/>
        <v>0</v>
      </c>
      <c r="AA94" s="66">
        <f t="shared" si="121"/>
        <v>0</v>
      </c>
      <c r="AB94" s="66">
        <f t="shared" si="121"/>
        <v>0</v>
      </c>
      <c r="AC94" s="66">
        <f t="shared" si="121"/>
        <v>0</v>
      </c>
      <c r="AD94" s="66">
        <f t="shared" si="121"/>
        <v>0</v>
      </c>
      <c r="AE94" s="66">
        <f t="shared" si="121"/>
        <v>0</v>
      </c>
      <c r="AF94" s="66">
        <f t="shared" si="121"/>
        <v>0</v>
      </c>
      <c r="AG94" s="66">
        <f t="shared" si="121"/>
        <v>0</v>
      </c>
      <c r="AH94" s="66">
        <f t="shared" si="121"/>
        <v>0</v>
      </c>
      <c r="AI94" s="66">
        <f t="shared" si="121"/>
        <v>0</v>
      </c>
      <c r="AJ94" s="66">
        <f t="shared" si="121"/>
        <v>0</v>
      </c>
      <c r="AK94" s="66">
        <f t="shared" si="121"/>
        <v>0</v>
      </c>
      <c r="AL94" s="66">
        <f t="shared" si="121"/>
        <v>0</v>
      </c>
      <c r="AM94" s="66">
        <f t="shared" ref="AM94:BN94" si="122">$F$94*AM21</f>
        <v>0</v>
      </c>
      <c r="AN94" s="66">
        <f t="shared" si="122"/>
        <v>0</v>
      </c>
      <c r="AO94" s="66">
        <f t="shared" si="122"/>
        <v>0</v>
      </c>
      <c r="AP94" s="66">
        <f t="shared" si="122"/>
        <v>0</v>
      </c>
      <c r="AQ94" s="66">
        <f t="shared" si="122"/>
        <v>0</v>
      </c>
      <c r="AR94" s="66">
        <f t="shared" si="122"/>
        <v>0</v>
      </c>
      <c r="AS94" s="66">
        <f t="shared" si="122"/>
        <v>0</v>
      </c>
      <c r="AT94" s="66">
        <f t="shared" si="122"/>
        <v>0</v>
      </c>
      <c r="AU94" s="66">
        <f t="shared" si="122"/>
        <v>0</v>
      </c>
      <c r="AV94" s="66">
        <f t="shared" si="122"/>
        <v>0</v>
      </c>
      <c r="AW94" s="66">
        <f t="shared" si="122"/>
        <v>0</v>
      </c>
      <c r="AX94" s="66">
        <f t="shared" si="122"/>
        <v>0</v>
      </c>
      <c r="AY94" s="66">
        <f t="shared" si="122"/>
        <v>0</v>
      </c>
      <c r="AZ94" s="66">
        <f t="shared" si="122"/>
        <v>0</v>
      </c>
      <c r="BA94" s="66">
        <f t="shared" si="122"/>
        <v>0</v>
      </c>
      <c r="BB94" s="66">
        <f t="shared" si="122"/>
        <v>0</v>
      </c>
      <c r="BC94" s="66">
        <f t="shared" si="122"/>
        <v>0</v>
      </c>
      <c r="BD94" s="66">
        <f t="shared" si="122"/>
        <v>0</v>
      </c>
      <c r="BE94" s="66">
        <f t="shared" si="122"/>
        <v>0</v>
      </c>
      <c r="BF94" s="66">
        <f t="shared" si="122"/>
        <v>0</v>
      </c>
      <c r="BG94" s="66">
        <f t="shared" si="122"/>
        <v>0</v>
      </c>
      <c r="BH94" s="66">
        <f t="shared" si="122"/>
        <v>0</v>
      </c>
      <c r="BI94" s="66">
        <f t="shared" si="122"/>
        <v>0</v>
      </c>
      <c r="BJ94" s="66">
        <f t="shared" si="122"/>
        <v>0</v>
      </c>
      <c r="BK94" s="66">
        <f t="shared" si="122"/>
        <v>0</v>
      </c>
      <c r="BL94" s="66">
        <f t="shared" si="122"/>
        <v>0</v>
      </c>
      <c r="BM94" s="66">
        <f t="shared" si="122"/>
        <v>0</v>
      </c>
      <c r="BN94" s="66">
        <f t="shared" si="122"/>
        <v>0</v>
      </c>
      <c r="BO94" s="66"/>
      <c r="BP94" s="66">
        <f t="shared" si="94"/>
        <v>0</v>
      </c>
      <c r="BQ94" s="66">
        <f t="shared" si="95"/>
        <v>0</v>
      </c>
      <c r="BR94" s="66">
        <f t="shared" si="96"/>
        <v>0</v>
      </c>
      <c r="BS94" s="66">
        <f t="shared" si="97"/>
        <v>0</v>
      </c>
      <c r="BT94" s="66">
        <f t="shared" si="98"/>
        <v>0</v>
      </c>
    </row>
    <row r="95" spans="1:72" ht="15.75" customHeight="1" outlineLevel="1" x14ac:dyDescent="0.35">
      <c r="A95" s="27"/>
      <c r="B95" s="27"/>
      <c r="C95" s="63" t="str">
        <f t="shared" si="91"/>
        <v># de clientes publicidade Produto/Serviço 2</v>
      </c>
      <c r="D95" s="27"/>
      <c r="E95" s="27"/>
      <c r="F95" s="82">
        <f>'1.Premissas Receitas'!D57</f>
        <v>0</v>
      </c>
      <c r="G95" s="66">
        <f t="shared" ref="G95:AL95" si="123">$F$95*G22</f>
        <v>0</v>
      </c>
      <c r="H95" s="66">
        <f t="shared" si="123"/>
        <v>0</v>
      </c>
      <c r="I95" s="66">
        <f t="shared" si="123"/>
        <v>0</v>
      </c>
      <c r="J95" s="66">
        <f t="shared" si="123"/>
        <v>0</v>
      </c>
      <c r="K95" s="66">
        <f t="shared" si="123"/>
        <v>0</v>
      </c>
      <c r="L95" s="66">
        <f t="shared" si="123"/>
        <v>0</v>
      </c>
      <c r="M95" s="66">
        <f t="shared" si="123"/>
        <v>0</v>
      </c>
      <c r="N95" s="66">
        <f t="shared" si="123"/>
        <v>0</v>
      </c>
      <c r="O95" s="66">
        <f t="shared" si="123"/>
        <v>0</v>
      </c>
      <c r="P95" s="66">
        <f t="shared" si="123"/>
        <v>0</v>
      </c>
      <c r="Q95" s="66">
        <f t="shared" si="123"/>
        <v>0</v>
      </c>
      <c r="R95" s="66">
        <f t="shared" si="123"/>
        <v>0</v>
      </c>
      <c r="S95" s="66">
        <f t="shared" si="123"/>
        <v>0</v>
      </c>
      <c r="T95" s="66">
        <f t="shared" si="123"/>
        <v>0</v>
      </c>
      <c r="U95" s="66">
        <f t="shared" si="123"/>
        <v>0</v>
      </c>
      <c r="V95" s="66">
        <f t="shared" si="123"/>
        <v>0</v>
      </c>
      <c r="W95" s="66">
        <f t="shared" si="123"/>
        <v>0</v>
      </c>
      <c r="X95" s="66">
        <f t="shared" si="123"/>
        <v>0</v>
      </c>
      <c r="Y95" s="66">
        <f t="shared" si="123"/>
        <v>0</v>
      </c>
      <c r="Z95" s="66">
        <f t="shared" si="123"/>
        <v>0</v>
      </c>
      <c r="AA95" s="66">
        <f t="shared" si="123"/>
        <v>0</v>
      </c>
      <c r="AB95" s="66">
        <f t="shared" si="123"/>
        <v>0</v>
      </c>
      <c r="AC95" s="66">
        <f t="shared" si="123"/>
        <v>0</v>
      </c>
      <c r="AD95" s="66">
        <f t="shared" si="123"/>
        <v>0</v>
      </c>
      <c r="AE95" s="66">
        <f t="shared" si="123"/>
        <v>0</v>
      </c>
      <c r="AF95" s="66">
        <f t="shared" si="123"/>
        <v>0</v>
      </c>
      <c r="AG95" s="66">
        <f t="shared" si="123"/>
        <v>0</v>
      </c>
      <c r="AH95" s="66">
        <f t="shared" si="123"/>
        <v>0</v>
      </c>
      <c r="AI95" s="66">
        <f t="shared" si="123"/>
        <v>0</v>
      </c>
      <c r="AJ95" s="66">
        <f t="shared" si="123"/>
        <v>0</v>
      </c>
      <c r="AK95" s="66">
        <f t="shared" si="123"/>
        <v>0</v>
      </c>
      <c r="AL95" s="66">
        <f t="shared" si="123"/>
        <v>0</v>
      </c>
      <c r="AM95" s="66">
        <f t="shared" ref="AM95:BN95" si="124">$F$95*AM22</f>
        <v>0</v>
      </c>
      <c r="AN95" s="66">
        <f t="shared" si="124"/>
        <v>0</v>
      </c>
      <c r="AO95" s="66">
        <f t="shared" si="124"/>
        <v>0</v>
      </c>
      <c r="AP95" s="66">
        <f t="shared" si="124"/>
        <v>0</v>
      </c>
      <c r="AQ95" s="66">
        <f t="shared" si="124"/>
        <v>0</v>
      </c>
      <c r="AR95" s="66">
        <f t="shared" si="124"/>
        <v>0</v>
      </c>
      <c r="AS95" s="66">
        <f t="shared" si="124"/>
        <v>0</v>
      </c>
      <c r="AT95" s="66">
        <f t="shared" si="124"/>
        <v>0</v>
      </c>
      <c r="AU95" s="66">
        <f t="shared" si="124"/>
        <v>0</v>
      </c>
      <c r="AV95" s="66">
        <f t="shared" si="124"/>
        <v>0</v>
      </c>
      <c r="AW95" s="66">
        <f t="shared" si="124"/>
        <v>0</v>
      </c>
      <c r="AX95" s="66">
        <f t="shared" si="124"/>
        <v>0</v>
      </c>
      <c r="AY95" s="66">
        <f t="shared" si="124"/>
        <v>0</v>
      </c>
      <c r="AZ95" s="66">
        <f t="shared" si="124"/>
        <v>0</v>
      </c>
      <c r="BA95" s="66">
        <f t="shared" si="124"/>
        <v>0</v>
      </c>
      <c r="BB95" s="66">
        <f t="shared" si="124"/>
        <v>0</v>
      </c>
      <c r="BC95" s="66">
        <f t="shared" si="124"/>
        <v>0</v>
      </c>
      <c r="BD95" s="66">
        <f t="shared" si="124"/>
        <v>0</v>
      </c>
      <c r="BE95" s="66">
        <f t="shared" si="124"/>
        <v>0</v>
      </c>
      <c r="BF95" s="66">
        <f t="shared" si="124"/>
        <v>0</v>
      </c>
      <c r="BG95" s="66">
        <f t="shared" si="124"/>
        <v>0</v>
      </c>
      <c r="BH95" s="66">
        <f t="shared" si="124"/>
        <v>0</v>
      </c>
      <c r="BI95" s="66">
        <f t="shared" si="124"/>
        <v>0</v>
      </c>
      <c r="BJ95" s="66">
        <f t="shared" si="124"/>
        <v>0</v>
      </c>
      <c r="BK95" s="66">
        <f t="shared" si="124"/>
        <v>0</v>
      </c>
      <c r="BL95" s="66">
        <f t="shared" si="124"/>
        <v>0</v>
      </c>
      <c r="BM95" s="66">
        <f t="shared" si="124"/>
        <v>0</v>
      </c>
      <c r="BN95" s="66">
        <f t="shared" si="124"/>
        <v>0</v>
      </c>
      <c r="BO95" s="66"/>
      <c r="BP95" s="66">
        <f t="shared" si="94"/>
        <v>0</v>
      </c>
      <c r="BQ95" s="66">
        <f t="shared" si="95"/>
        <v>0</v>
      </c>
      <c r="BR95" s="66">
        <f t="shared" si="96"/>
        <v>0</v>
      </c>
      <c r="BS95" s="66">
        <f t="shared" si="97"/>
        <v>0</v>
      </c>
      <c r="BT95" s="66">
        <f t="shared" si="98"/>
        <v>0</v>
      </c>
    </row>
    <row r="96" spans="1:72" ht="15.75" customHeight="1" outlineLevel="1" x14ac:dyDescent="0.35">
      <c r="A96" s="27"/>
      <c r="B96" s="27"/>
      <c r="C96" s="63" t="str">
        <f t="shared" si="91"/>
        <v># de clientes publicidade Produto/Serviço 3</v>
      </c>
      <c r="D96" s="27"/>
      <c r="E96" s="27"/>
      <c r="F96" s="82">
        <f>'1.Premissas Receitas'!D58</f>
        <v>0</v>
      </c>
      <c r="G96" s="66">
        <f t="shared" ref="G96:AL96" si="125">$F$96*G23</f>
        <v>0</v>
      </c>
      <c r="H96" s="66">
        <f t="shared" si="125"/>
        <v>0</v>
      </c>
      <c r="I96" s="66">
        <f t="shared" si="125"/>
        <v>0</v>
      </c>
      <c r="J96" s="66">
        <f t="shared" si="125"/>
        <v>0</v>
      </c>
      <c r="K96" s="66">
        <f t="shared" si="125"/>
        <v>0</v>
      </c>
      <c r="L96" s="66">
        <f t="shared" si="125"/>
        <v>0</v>
      </c>
      <c r="M96" s="66">
        <f t="shared" si="125"/>
        <v>0</v>
      </c>
      <c r="N96" s="66">
        <f t="shared" si="125"/>
        <v>0</v>
      </c>
      <c r="O96" s="66">
        <f t="shared" si="125"/>
        <v>0</v>
      </c>
      <c r="P96" s="66">
        <f t="shared" si="125"/>
        <v>0</v>
      </c>
      <c r="Q96" s="66">
        <f t="shared" si="125"/>
        <v>0</v>
      </c>
      <c r="R96" s="66">
        <f t="shared" si="125"/>
        <v>0</v>
      </c>
      <c r="S96" s="66">
        <f t="shared" si="125"/>
        <v>0</v>
      </c>
      <c r="T96" s="66">
        <f t="shared" si="125"/>
        <v>0</v>
      </c>
      <c r="U96" s="66">
        <f t="shared" si="125"/>
        <v>0</v>
      </c>
      <c r="V96" s="66">
        <f t="shared" si="125"/>
        <v>0</v>
      </c>
      <c r="W96" s="66">
        <f t="shared" si="125"/>
        <v>0</v>
      </c>
      <c r="X96" s="66">
        <f t="shared" si="125"/>
        <v>0</v>
      </c>
      <c r="Y96" s="66">
        <f t="shared" si="125"/>
        <v>0</v>
      </c>
      <c r="Z96" s="66">
        <f t="shared" si="125"/>
        <v>0</v>
      </c>
      <c r="AA96" s="66">
        <f t="shared" si="125"/>
        <v>0</v>
      </c>
      <c r="AB96" s="66">
        <f t="shared" si="125"/>
        <v>0</v>
      </c>
      <c r="AC96" s="66">
        <f t="shared" si="125"/>
        <v>0</v>
      </c>
      <c r="AD96" s="66">
        <f t="shared" si="125"/>
        <v>0</v>
      </c>
      <c r="AE96" s="66">
        <f t="shared" si="125"/>
        <v>0</v>
      </c>
      <c r="AF96" s="66">
        <f t="shared" si="125"/>
        <v>0</v>
      </c>
      <c r="AG96" s="66">
        <f t="shared" si="125"/>
        <v>0</v>
      </c>
      <c r="AH96" s="66">
        <f t="shared" si="125"/>
        <v>0</v>
      </c>
      <c r="AI96" s="66">
        <f t="shared" si="125"/>
        <v>0</v>
      </c>
      <c r="AJ96" s="66">
        <f t="shared" si="125"/>
        <v>0</v>
      </c>
      <c r="AK96" s="66">
        <f t="shared" si="125"/>
        <v>0</v>
      </c>
      <c r="AL96" s="66">
        <f t="shared" si="125"/>
        <v>0</v>
      </c>
      <c r="AM96" s="66">
        <f t="shared" ref="AM96:BN96" si="126">$F$96*AM23</f>
        <v>0</v>
      </c>
      <c r="AN96" s="66">
        <f t="shared" si="126"/>
        <v>0</v>
      </c>
      <c r="AO96" s="66">
        <f t="shared" si="126"/>
        <v>0</v>
      </c>
      <c r="AP96" s="66">
        <f t="shared" si="126"/>
        <v>0</v>
      </c>
      <c r="AQ96" s="66">
        <f t="shared" si="126"/>
        <v>0</v>
      </c>
      <c r="AR96" s="66">
        <f t="shared" si="126"/>
        <v>0</v>
      </c>
      <c r="AS96" s="66">
        <f t="shared" si="126"/>
        <v>0</v>
      </c>
      <c r="AT96" s="66">
        <f t="shared" si="126"/>
        <v>0</v>
      </c>
      <c r="AU96" s="66">
        <f t="shared" si="126"/>
        <v>0</v>
      </c>
      <c r="AV96" s="66">
        <f t="shared" si="126"/>
        <v>0</v>
      </c>
      <c r="AW96" s="66">
        <f t="shared" si="126"/>
        <v>0</v>
      </c>
      <c r="AX96" s="66">
        <f t="shared" si="126"/>
        <v>0</v>
      </c>
      <c r="AY96" s="66">
        <f t="shared" si="126"/>
        <v>0</v>
      </c>
      <c r="AZ96" s="66">
        <f t="shared" si="126"/>
        <v>0</v>
      </c>
      <c r="BA96" s="66">
        <f t="shared" si="126"/>
        <v>0</v>
      </c>
      <c r="BB96" s="66">
        <f t="shared" si="126"/>
        <v>0</v>
      </c>
      <c r="BC96" s="66">
        <f t="shared" si="126"/>
        <v>0</v>
      </c>
      <c r="BD96" s="66">
        <f t="shared" si="126"/>
        <v>0</v>
      </c>
      <c r="BE96" s="66">
        <f t="shared" si="126"/>
        <v>0</v>
      </c>
      <c r="BF96" s="66">
        <f t="shared" si="126"/>
        <v>0</v>
      </c>
      <c r="BG96" s="66">
        <f t="shared" si="126"/>
        <v>0</v>
      </c>
      <c r="BH96" s="66">
        <f t="shared" si="126"/>
        <v>0</v>
      </c>
      <c r="BI96" s="66">
        <f t="shared" si="126"/>
        <v>0</v>
      </c>
      <c r="BJ96" s="66">
        <f t="shared" si="126"/>
        <v>0</v>
      </c>
      <c r="BK96" s="66">
        <f t="shared" si="126"/>
        <v>0</v>
      </c>
      <c r="BL96" s="66">
        <f t="shared" si="126"/>
        <v>0</v>
      </c>
      <c r="BM96" s="66">
        <f t="shared" si="126"/>
        <v>0</v>
      </c>
      <c r="BN96" s="66">
        <f t="shared" si="126"/>
        <v>0</v>
      </c>
      <c r="BO96" s="66"/>
      <c r="BP96" s="66">
        <f t="shared" si="94"/>
        <v>0</v>
      </c>
      <c r="BQ96" s="66">
        <f t="shared" si="95"/>
        <v>0</v>
      </c>
      <c r="BR96" s="66">
        <f t="shared" si="96"/>
        <v>0</v>
      </c>
      <c r="BS96" s="66">
        <f t="shared" si="97"/>
        <v>0</v>
      </c>
      <c r="BT96" s="66">
        <f t="shared" si="98"/>
        <v>0</v>
      </c>
    </row>
    <row r="97" spans="1:72" ht="15.75" customHeight="1" outlineLevel="1" x14ac:dyDescent="0.35">
      <c r="A97" s="27"/>
      <c r="B97" s="27"/>
      <c r="C97" s="63" t="str">
        <f t="shared" si="91"/>
        <v># Pay-per-use Produto/Serviço 1</v>
      </c>
      <c r="D97" s="27"/>
      <c r="E97" s="27"/>
      <c r="F97" s="82">
        <f>'1.Premissas Receitas'!D63</f>
        <v>0</v>
      </c>
      <c r="G97" s="66">
        <f t="shared" ref="G97:AL97" si="127">$F$97*G24</f>
        <v>0</v>
      </c>
      <c r="H97" s="66">
        <f t="shared" si="127"/>
        <v>0</v>
      </c>
      <c r="I97" s="66">
        <f t="shared" si="127"/>
        <v>0</v>
      </c>
      <c r="J97" s="66">
        <f t="shared" si="127"/>
        <v>0</v>
      </c>
      <c r="K97" s="66">
        <f t="shared" si="127"/>
        <v>0</v>
      </c>
      <c r="L97" s="66">
        <f t="shared" si="127"/>
        <v>0</v>
      </c>
      <c r="M97" s="66">
        <f t="shared" si="127"/>
        <v>0</v>
      </c>
      <c r="N97" s="66">
        <f t="shared" si="127"/>
        <v>0</v>
      </c>
      <c r="O97" s="66">
        <f t="shared" si="127"/>
        <v>0</v>
      </c>
      <c r="P97" s="66">
        <f t="shared" si="127"/>
        <v>0</v>
      </c>
      <c r="Q97" s="66">
        <f t="shared" si="127"/>
        <v>0</v>
      </c>
      <c r="R97" s="66">
        <f t="shared" si="127"/>
        <v>0</v>
      </c>
      <c r="S97" s="66">
        <f t="shared" si="127"/>
        <v>0</v>
      </c>
      <c r="T97" s="66">
        <f t="shared" si="127"/>
        <v>0</v>
      </c>
      <c r="U97" s="66">
        <f t="shared" si="127"/>
        <v>0</v>
      </c>
      <c r="V97" s="66">
        <f t="shared" si="127"/>
        <v>0</v>
      </c>
      <c r="W97" s="66">
        <f t="shared" si="127"/>
        <v>0</v>
      </c>
      <c r="X97" s="66">
        <f t="shared" si="127"/>
        <v>0</v>
      </c>
      <c r="Y97" s="66">
        <f t="shared" si="127"/>
        <v>0</v>
      </c>
      <c r="Z97" s="66">
        <f t="shared" si="127"/>
        <v>0</v>
      </c>
      <c r="AA97" s="66">
        <f t="shared" si="127"/>
        <v>0</v>
      </c>
      <c r="AB97" s="66">
        <f t="shared" si="127"/>
        <v>0</v>
      </c>
      <c r="AC97" s="66">
        <f t="shared" si="127"/>
        <v>0</v>
      </c>
      <c r="AD97" s="66">
        <f t="shared" si="127"/>
        <v>0</v>
      </c>
      <c r="AE97" s="66">
        <f t="shared" si="127"/>
        <v>0</v>
      </c>
      <c r="AF97" s="66">
        <f t="shared" si="127"/>
        <v>0</v>
      </c>
      <c r="AG97" s="66">
        <f t="shared" si="127"/>
        <v>0</v>
      </c>
      <c r="AH97" s="66">
        <f t="shared" si="127"/>
        <v>0</v>
      </c>
      <c r="AI97" s="66">
        <f t="shared" si="127"/>
        <v>0</v>
      </c>
      <c r="AJ97" s="66">
        <f t="shared" si="127"/>
        <v>0</v>
      </c>
      <c r="AK97" s="66">
        <f t="shared" si="127"/>
        <v>0</v>
      </c>
      <c r="AL97" s="66">
        <f t="shared" si="127"/>
        <v>0</v>
      </c>
      <c r="AM97" s="66">
        <f t="shared" ref="AM97:BN97" si="128">$F$97*AM24</f>
        <v>0</v>
      </c>
      <c r="AN97" s="66">
        <f t="shared" si="128"/>
        <v>0</v>
      </c>
      <c r="AO97" s="66">
        <f t="shared" si="128"/>
        <v>0</v>
      </c>
      <c r="AP97" s="66">
        <f t="shared" si="128"/>
        <v>0</v>
      </c>
      <c r="AQ97" s="66">
        <f t="shared" si="128"/>
        <v>0</v>
      </c>
      <c r="AR97" s="66">
        <f t="shared" si="128"/>
        <v>0</v>
      </c>
      <c r="AS97" s="66">
        <f t="shared" si="128"/>
        <v>0</v>
      </c>
      <c r="AT97" s="66">
        <f t="shared" si="128"/>
        <v>0</v>
      </c>
      <c r="AU97" s="66">
        <f t="shared" si="128"/>
        <v>0</v>
      </c>
      <c r="AV97" s="66">
        <f t="shared" si="128"/>
        <v>0</v>
      </c>
      <c r="AW97" s="66">
        <f t="shared" si="128"/>
        <v>0</v>
      </c>
      <c r="AX97" s="66">
        <f t="shared" si="128"/>
        <v>0</v>
      </c>
      <c r="AY97" s="66">
        <f t="shared" si="128"/>
        <v>0</v>
      </c>
      <c r="AZ97" s="66">
        <f t="shared" si="128"/>
        <v>0</v>
      </c>
      <c r="BA97" s="66">
        <f t="shared" si="128"/>
        <v>0</v>
      </c>
      <c r="BB97" s="66">
        <f t="shared" si="128"/>
        <v>0</v>
      </c>
      <c r="BC97" s="66">
        <f t="shared" si="128"/>
        <v>0</v>
      </c>
      <c r="BD97" s="66">
        <f t="shared" si="128"/>
        <v>0</v>
      </c>
      <c r="BE97" s="66">
        <f t="shared" si="128"/>
        <v>0</v>
      </c>
      <c r="BF97" s="66">
        <f t="shared" si="128"/>
        <v>0</v>
      </c>
      <c r="BG97" s="66">
        <f t="shared" si="128"/>
        <v>0</v>
      </c>
      <c r="BH97" s="66">
        <f t="shared" si="128"/>
        <v>0</v>
      </c>
      <c r="BI97" s="66">
        <f t="shared" si="128"/>
        <v>0</v>
      </c>
      <c r="BJ97" s="66">
        <f t="shared" si="128"/>
        <v>0</v>
      </c>
      <c r="BK97" s="66">
        <f t="shared" si="128"/>
        <v>0</v>
      </c>
      <c r="BL97" s="66">
        <f t="shared" si="128"/>
        <v>0</v>
      </c>
      <c r="BM97" s="66">
        <f t="shared" si="128"/>
        <v>0</v>
      </c>
      <c r="BN97" s="66">
        <f t="shared" si="128"/>
        <v>0</v>
      </c>
      <c r="BO97" s="66"/>
      <c r="BP97" s="66">
        <f t="shared" si="94"/>
        <v>0</v>
      </c>
      <c r="BQ97" s="66">
        <f t="shared" si="95"/>
        <v>0</v>
      </c>
      <c r="BR97" s="66">
        <f t="shared" si="96"/>
        <v>0</v>
      </c>
      <c r="BS97" s="66">
        <f t="shared" si="97"/>
        <v>0</v>
      </c>
      <c r="BT97" s="66">
        <f t="shared" si="98"/>
        <v>0</v>
      </c>
    </row>
    <row r="98" spans="1:72" ht="15.75" customHeight="1" outlineLevel="1" x14ac:dyDescent="0.35">
      <c r="A98" s="27"/>
      <c r="B98" s="27"/>
      <c r="C98" s="63" t="str">
        <f t="shared" si="91"/>
        <v># Pay-per-use Produto/Serviço 2</v>
      </c>
      <c r="D98" s="27"/>
      <c r="E98" s="27"/>
      <c r="F98" s="82">
        <f>'1.Premissas Receitas'!D64</f>
        <v>0</v>
      </c>
      <c r="G98" s="66">
        <f t="shared" ref="G98:AL98" si="129">$F$98*G25</f>
        <v>0</v>
      </c>
      <c r="H98" s="66">
        <f t="shared" si="129"/>
        <v>0</v>
      </c>
      <c r="I98" s="66">
        <f t="shared" si="129"/>
        <v>0</v>
      </c>
      <c r="J98" s="66">
        <f t="shared" si="129"/>
        <v>0</v>
      </c>
      <c r="K98" s="66">
        <f t="shared" si="129"/>
        <v>0</v>
      </c>
      <c r="L98" s="66">
        <f t="shared" si="129"/>
        <v>0</v>
      </c>
      <c r="M98" s="66">
        <f t="shared" si="129"/>
        <v>0</v>
      </c>
      <c r="N98" s="66">
        <f t="shared" si="129"/>
        <v>0</v>
      </c>
      <c r="O98" s="66">
        <f t="shared" si="129"/>
        <v>0</v>
      </c>
      <c r="P98" s="66">
        <f t="shared" si="129"/>
        <v>0</v>
      </c>
      <c r="Q98" s="66">
        <f t="shared" si="129"/>
        <v>0</v>
      </c>
      <c r="R98" s="66">
        <f t="shared" si="129"/>
        <v>0</v>
      </c>
      <c r="S98" s="66">
        <f t="shared" si="129"/>
        <v>0</v>
      </c>
      <c r="T98" s="66">
        <f t="shared" si="129"/>
        <v>0</v>
      </c>
      <c r="U98" s="66">
        <f t="shared" si="129"/>
        <v>0</v>
      </c>
      <c r="V98" s="66">
        <f t="shared" si="129"/>
        <v>0</v>
      </c>
      <c r="W98" s="66">
        <f t="shared" si="129"/>
        <v>0</v>
      </c>
      <c r="X98" s="66">
        <f t="shared" si="129"/>
        <v>0</v>
      </c>
      <c r="Y98" s="66">
        <f t="shared" si="129"/>
        <v>0</v>
      </c>
      <c r="Z98" s="66">
        <f t="shared" si="129"/>
        <v>0</v>
      </c>
      <c r="AA98" s="66">
        <f t="shared" si="129"/>
        <v>0</v>
      </c>
      <c r="AB98" s="66">
        <f t="shared" si="129"/>
        <v>0</v>
      </c>
      <c r="AC98" s="66">
        <f t="shared" si="129"/>
        <v>0</v>
      </c>
      <c r="AD98" s="66">
        <f t="shared" si="129"/>
        <v>0</v>
      </c>
      <c r="AE98" s="66">
        <f t="shared" si="129"/>
        <v>0</v>
      </c>
      <c r="AF98" s="66">
        <f t="shared" si="129"/>
        <v>0</v>
      </c>
      <c r="AG98" s="66">
        <f t="shared" si="129"/>
        <v>0</v>
      </c>
      <c r="AH98" s="66">
        <f t="shared" si="129"/>
        <v>0</v>
      </c>
      <c r="AI98" s="66">
        <f t="shared" si="129"/>
        <v>0</v>
      </c>
      <c r="AJ98" s="66">
        <f t="shared" si="129"/>
        <v>0</v>
      </c>
      <c r="AK98" s="66">
        <f t="shared" si="129"/>
        <v>0</v>
      </c>
      <c r="AL98" s="66">
        <f t="shared" si="129"/>
        <v>0</v>
      </c>
      <c r="AM98" s="66">
        <f t="shared" ref="AM98:BN98" si="130">$F$98*AM25</f>
        <v>0</v>
      </c>
      <c r="AN98" s="66">
        <f t="shared" si="130"/>
        <v>0</v>
      </c>
      <c r="AO98" s="66">
        <f t="shared" si="130"/>
        <v>0</v>
      </c>
      <c r="AP98" s="66">
        <f t="shared" si="130"/>
        <v>0</v>
      </c>
      <c r="AQ98" s="66">
        <f t="shared" si="130"/>
        <v>0</v>
      </c>
      <c r="AR98" s="66">
        <f t="shared" si="130"/>
        <v>0</v>
      </c>
      <c r="AS98" s="66">
        <f t="shared" si="130"/>
        <v>0</v>
      </c>
      <c r="AT98" s="66">
        <f t="shared" si="130"/>
        <v>0</v>
      </c>
      <c r="AU98" s="66">
        <f t="shared" si="130"/>
        <v>0</v>
      </c>
      <c r="AV98" s="66">
        <f t="shared" si="130"/>
        <v>0</v>
      </c>
      <c r="AW98" s="66">
        <f t="shared" si="130"/>
        <v>0</v>
      </c>
      <c r="AX98" s="66">
        <f t="shared" si="130"/>
        <v>0</v>
      </c>
      <c r="AY98" s="66">
        <f t="shared" si="130"/>
        <v>0</v>
      </c>
      <c r="AZ98" s="66">
        <f t="shared" si="130"/>
        <v>0</v>
      </c>
      <c r="BA98" s="66">
        <f t="shared" si="130"/>
        <v>0</v>
      </c>
      <c r="BB98" s="66">
        <f t="shared" si="130"/>
        <v>0</v>
      </c>
      <c r="BC98" s="66">
        <f t="shared" si="130"/>
        <v>0</v>
      </c>
      <c r="BD98" s="66">
        <f t="shared" si="130"/>
        <v>0</v>
      </c>
      <c r="BE98" s="66">
        <f t="shared" si="130"/>
        <v>0</v>
      </c>
      <c r="BF98" s="66">
        <f t="shared" si="130"/>
        <v>0</v>
      </c>
      <c r="BG98" s="66">
        <f t="shared" si="130"/>
        <v>0</v>
      </c>
      <c r="BH98" s="66">
        <f t="shared" si="130"/>
        <v>0</v>
      </c>
      <c r="BI98" s="66">
        <f t="shared" si="130"/>
        <v>0</v>
      </c>
      <c r="BJ98" s="66">
        <f t="shared" si="130"/>
        <v>0</v>
      </c>
      <c r="BK98" s="66">
        <f t="shared" si="130"/>
        <v>0</v>
      </c>
      <c r="BL98" s="66">
        <f t="shared" si="130"/>
        <v>0</v>
      </c>
      <c r="BM98" s="66">
        <f t="shared" si="130"/>
        <v>0</v>
      </c>
      <c r="BN98" s="66">
        <f t="shared" si="130"/>
        <v>0</v>
      </c>
      <c r="BO98" s="66"/>
      <c r="BP98" s="66">
        <f t="shared" si="94"/>
        <v>0</v>
      </c>
      <c r="BQ98" s="66">
        <f t="shared" si="95"/>
        <v>0</v>
      </c>
      <c r="BR98" s="66">
        <f t="shared" si="96"/>
        <v>0</v>
      </c>
      <c r="BS98" s="66">
        <f t="shared" si="97"/>
        <v>0</v>
      </c>
      <c r="BT98" s="66">
        <f t="shared" si="98"/>
        <v>0</v>
      </c>
    </row>
    <row r="99" spans="1:72" ht="15.75" customHeight="1" outlineLevel="1" x14ac:dyDescent="0.35">
      <c r="A99" s="27"/>
      <c r="B99" s="27"/>
      <c r="C99" s="63" t="str">
        <f t="shared" si="91"/>
        <v># Pay-per-use Produto/Serviço 3</v>
      </c>
      <c r="D99" s="27"/>
      <c r="E99" s="27"/>
      <c r="F99" s="82">
        <f>'1.Premissas Receitas'!D65</f>
        <v>0</v>
      </c>
      <c r="G99" s="66">
        <f t="shared" ref="G99:AL99" si="131">$F$99*G26</f>
        <v>0</v>
      </c>
      <c r="H99" s="66">
        <f t="shared" si="131"/>
        <v>0</v>
      </c>
      <c r="I99" s="66">
        <f t="shared" si="131"/>
        <v>0</v>
      </c>
      <c r="J99" s="66">
        <f t="shared" si="131"/>
        <v>0</v>
      </c>
      <c r="K99" s="66">
        <f t="shared" si="131"/>
        <v>0</v>
      </c>
      <c r="L99" s="66">
        <f t="shared" si="131"/>
        <v>0</v>
      </c>
      <c r="M99" s="66">
        <f t="shared" si="131"/>
        <v>0</v>
      </c>
      <c r="N99" s="66">
        <f t="shared" si="131"/>
        <v>0</v>
      </c>
      <c r="O99" s="66">
        <f t="shared" si="131"/>
        <v>0</v>
      </c>
      <c r="P99" s="66">
        <f t="shared" si="131"/>
        <v>0</v>
      </c>
      <c r="Q99" s="66">
        <f t="shared" si="131"/>
        <v>0</v>
      </c>
      <c r="R99" s="66">
        <f t="shared" si="131"/>
        <v>0</v>
      </c>
      <c r="S99" s="66">
        <f t="shared" si="131"/>
        <v>0</v>
      </c>
      <c r="T99" s="66">
        <f t="shared" si="131"/>
        <v>0</v>
      </c>
      <c r="U99" s="66">
        <f t="shared" si="131"/>
        <v>0</v>
      </c>
      <c r="V99" s="66">
        <f t="shared" si="131"/>
        <v>0</v>
      </c>
      <c r="W99" s="66">
        <f t="shared" si="131"/>
        <v>0</v>
      </c>
      <c r="X99" s="66">
        <f t="shared" si="131"/>
        <v>0</v>
      </c>
      <c r="Y99" s="66">
        <f t="shared" si="131"/>
        <v>0</v>
      </c>
      <c r="Z99" s="66">
        <f t="shared" si="131"/>
        <v>0</v>
      </c>
      <c r="AA99" s="66">
        <f t="shared" si="131"/>
        <v>0</v>
      </c>
      <c r="AB99" s="66">
        <f t="shared" si="131"/>
        <v>0</v>
      </c>
      <c r="AC99" s="66">
        <f t="shared" si="131"/>
        <v>0</v>
      </c>
      <c r="AD99" s="66">
        <f t="shared" si="131"/>
        <v>0</v>
      </c>
      <c r="AE99" s="66">
        <f t="shared" si="131"/>
        <v>0</v>
      </c>
      <c r="AF99" s="66">
        <f t="shared" si="131"/>
        <v>0</v>
      </c>
      <c r="AG99" s="66">
        <f t="shared" si="131"/>
        <v>0</v>
      </c>
      <c r="AH99" s="66">
        <f t="shared" si="131"/>
        <v>0</v>
      </c>
      <c r="AI99" s="66">
        <f t="shared" si="131"/>
        <v>0</v>
      </c>
      <c r="AJ99" s="66">
        <f t="shared" si="131"/>
        <v>0</v>
      </c>
      <c r="AK99" s="66">
        <f t="shared" si="131"/>
        <v>0</v>
      </c>
      <c r="AL99" s="66">
        <f t="shared" si="131"/>
        <v>0</v>
      </c>
      <c r="AM99" s="66">
        <f t="shared" ref="AM99:BN99" si="132">$F$99*AM26</f>
        <v>0</v>
      </c>
      <c r="AN99" s="66">
        <f t="shared" si="132"/>
        <v>0</v>
      </c>
      <c r="AO99" s="66">
        <f t="shared" si="132"/>
        <v>0</v>
      </c>
      <c r="AP99" s="66">
        <f t="shared" si="132"/>
        <v>0</v>
      </c>
      <c r="AQ99" s="66">
        <f t="shared" si="132"/>
        <v>0</v>
      </c>
      <c r="AR99" s="66">
        <f t="shared" si="132"/>
        <v>0</v>
      </c>
      <c r="AS99" s="66">
        <f t="shared" si="132"/>
        <v>0</v>
      </c>
      <c r="AT99" s="66">
        <f t="shared" si="132"/>
        <v>0</v>
      </c>
      <c r="AU99" s="66">
        <f t="shared" si="132"/>
        <v>0</v>
      </c>
      <c r="AV99" s="66">
        <f t="shared" si="132"/>
        <v>0</v>
      </c>
      <c r="AW99" s="66">
        <f t="shared" si="132"/>
        <v>0</v>
      </c>
      <c r="AX99" s="66">
        <f t="shared" si="132"/>
        <v>0</v>
      </c>
      <c r="AY99" s="66">
        <f t="shared" si="132"/>
        <v>0</v>
      </c>
      <c r="AZ99" s="66">
        <f t="shared" si="132"/>
        <v>0</v>
      </c>
      <c r="BA99" s="66">
        <f t="shared" si="132"/>
        <v>0</v>
      </c>
      <c r="BB99" s="66">
        <f t="shared" si="132"/>
        <v>0</v>
      </c>
      <c r="BC99" s="66">
        <f t="shared" si="132"/>
        <v>0</v>
      </c>
      <c r="BD99" s="66">
        <f t="shared" si="132"/>
        <v>0</v>
      </c>
      <c r="BE99" s="66">
        <f t="shared" si="132"/>
        <v>0</v>
      </c>
      <c r="BF99" s="66">
        <f t="shared" si="132"/>
        <v>0</v>
      </c>
      <c r="BG99" s="66">
        <f t="shared" si="132"/>
        <v>0</v>
      </c>
      <c r="BH99" s="66">
        <f t="shared" si="132"/>
        <v>0</v>
      </c>
      <c r="BI99" s="66">
        <f t="shared" si="132"/>
        <v>0</v>
      </c>
      <c r="BJ99" s="66">
        <f t="shared" si="132"/>
        <v>0</v>
      </c>
      <c r="BK99" s="66">
        <f t="shared" si="132"/>
        <v>0</v>
      </c>
      <c r="BL99" s="66">
        <f t="shared" si="132"/>
        <v>0</v>
      </c>
      <c r="BM99" s="66">
        <f t="shared" si="132"/>
        <v>0</v>
      </c>
      <c r="BN99" s="66">
        <f t="shared" si="132"/>
        <v>0</v>
      </c>
      <c r="BO99" s="66"/>
      <c r="BP99" s="66">
        <f t="shared" si="94"/>
        <v>0</v>
      </c>
      <c r="BQ99" s="66">
        <f t="shared" si="95"/>
        <v>0</v>
      </c>
      <c r="BR99" s="66">
        <f t="shared" si="96"/>
        <v>0</v>
      </c>
      <c r="BS99" s="66">
        <f t="shared" si="97"/>
        <v>0</v>
      </c>
      <c r="BT99" s="66">
        <f t="shared" si="98"/>
        <v>0</v>
      </c>
    </row>
    <row r="100" spans="1:72" ht="15.75" customHeight="1" x14ac:dyDescent="0.35">
      <c r="A100" s="64" t="s">
        <v>164</v>
      </c>
      <c r="B100" s="64"/>
      <c r="C100" s="64"/>
      <c r="D100" s="64"/>
      <c r="E100" s="64"/>
      <c r="F100" s="69"/>
      <c r="G100" s="69">
        <f t="shared" ref="G100:AL100" si="133">+SUM(G82:G99)</f>
        <v>7964.3333333333339</v>
      </c>
      <c r="H100" s="69">
        <f t="shared" si="133"/>
        <v>8203.2633333333342</v>
      </c>
      <c r="I100" s="69">
        <f t="shared" si="133"/>
        <v>8449.3612333333331</v>
      </c>
      <c r="J100" s="69">
        <f t="shared" si="133"/>
        <v>8702.8420703333322</v>
      </c>
      <c r="K100" s="69">
        <f t="shared" si="133"/>
        <v>8963.9273324433325</v>
      </c>
      <c r="L100" s="69">
        <f t="shared" si="133"/>
        <v>9232.8451524166321</v>
      </c>
      <c r="M100" s="69">
        <f t="shared" si="133"/>
        <v>9509.8305069891303</v>
      </c>
      <c r="N100" s="69">
        <f t="shared" si="133"/>
        <v>9795.1254221988056</v>
      </c>
      <c r="O100" s="69">
        <f t="shared" si="133"/>
        <v>10088.979184864769</v>
      </c>
      <c r="P100" s="69">
        <f t="shared" si="133"/>
        <v>10391.648560410711</v>
      </c>
      <c r="Q100" s="69">
        <f t="shared" si="133"/>
        <v>10703.398017223033</v>
      </c>
      <c r="R100" s="69">
        <f t="shared" si="133"/>
        <v>11024.499957739725</v>
      </c>
      <c r="S100" s="69">
        <f t="shared" si="133"/>
        <v>15434.299940835614</v>
      </c>
      <c r="T100" s="69">
        <f t="shared" si="133"/>
        <v>15897.328939060682</v>
      </c>
      <c r="U100" s="69">
        <f t="shared" si="133"/>
        <v>16374.248807232503</v>
      </c>
      <c r="V100" s="69">
        <f t="shared" si="133"/>
        <v>16865.476271449479</v>
      </c>
      <c r="W100" s="69">
        <f t="shared" si="133"/>
        <v>17371.440559592964</v>
      </c>
      <c r="X100" s="69">
        <f t="shared" si="133"/>
        <v>17892.58377638075</v>
      </c>
      <c r="Y100" s="69">
        <f t="shared" si="133"/>
        <v>18429.361289672172</v>
      </c>
      <c r="Z100" s="69">
        <f t="shared" si="133"/>
        <v>18982.242128362333</v>
      </c>
      <c r="AA100" s="69">
        <f t="shared" si="133"/>
        <v>19551.709392213208</v>
      </c>
      <c r="AB100" s="69">
        <f t="shared" si="133"/>
        <v>20138.260673979607</v>
      </c>
      <c r="AC100" s="69">
        <f t="shared" si="133"/>
        <v>20742.408494198993</v>
      </c>
      <c r="AD100" s="69">
        <f t="shared" si="133"/>
        <v>21364.680749024959</v>
      </c>
      <c r="AE100" s="69">
        <f t="shared" si="133"/>
        <v>27774.084973732446</v>
      </c>
      <c r="AF100" s="69">
        <f t="shared" si="133"/>
        <v>28607.307522944418</v>
      </c>
      <c r="AG100" s="69">
        <f t="shared" si="133"/>
        <v>29465.52674863275</v>
      </c>
      <c r="AH100" s="69">
        <f t="shared" si="133"/>
        <v>30349.492551091731</v>
      </c>
      <c r="AI100" s="69">
        <f t="shared" si="133"/>
        <v>31259.977327624481</v>
      </c>
      <c r="AJ100" s="69">
        <f t="shared" si="133"/>
        <v>32197.776647453215</v>
      </c>
      <c r="AK100" s="69">
        <f t="shared" si="133"/>
        <v>33163.709946876814</v>
      </c>
      <c r="AL100" s="69">
        <f t="shared" si="133"/>
        <v>34158.621245283117</v>
      </c>
      <c r="AM100" s="69">
        <f t="shared" ref="AM100:BN100" si="134">+SUM(AM82:AM99)</f>
        <v>35183.379882641617</v>
      </c>
      <c r="AN100" s="69">
        <f t="shared" si="134"/>
        <v>36238.881279120855</v>
      </c>
      <c r="AO100" s="69">
        <f t="shared" si="134"/>
        <v>37326.047717494483</v>
      </c>
      <c r="AP100" s="69">
        <f t="shared" si="134"/>
        <v>38445.829149019322</v>
      </c>
      <c r="AQ100" s="69">
        <f t="shared" si="134"/>
        <v>46134.994978823175</v>
      </c>
      <c r="AR100" s="69">
        <f t="shared" si="134"/>
        <v>47519.044828187878</v>
      </c>
      <c r="AS100" s="69">
        <f t="shared" si="134"/>
        <v>48944.616173033515</v>
      </c>
      <c r="AT100" s="69">
        <f t="shared" si="134"/>
        <v>50412.954658224517</v>
      </c>
      <c r="AU100" s="69">
        <f t="shared" si="134"/>
        <v>51925.343297971252</v>
      </c>
      <c r="AV100" s="69">
        <f t="shared" si="134"/>
        <v>53483.103596910398</v>
      </c>
      <c r="AW100" s="69">
        <f t="shared" si="134"/>
        <v>55087.596704817697</v>
      </c>
      <c r="AX100" s="69">
        <f t="shared" si="134"/>
        <v>56740.224605962234</v>
      </c>
      <c r="AY100" s="69">
        <f t="shared" si="134"/>
        <v>58442.431344141092</v>
      </c>
      <c r="AZ100" s="69">
        <f t="shared" si="134"/>
        <v>60195.704284465319</v>
      </c>
      <c r="BA100" s="69">
        <f t="shared" si="134"/>
        <v>62001.575412999278</v>
      </c>
      <c r="BB100" s="69">
        <f t="shared" si="134"/>
        <v>63861.622675389255</v>
      </c>
      <c r="BC100" s="69">
        <f t="shared" si="134"/>
        <v>73440.866076697654</v>
      </c>
      <c r="BD100" s="69">
        <f t="shared" si="134"/>
        <v>75644.092058998576</v>
      </c>
      <c r="BE100" s="69">
        <f t="shared" si="134"/>
        <v>77913.414820768536</v>
      </c>
      <c r="BF100" s="69">
        <f t="shared" si="134"/>
        <v>80250.817265391597</v>
      </c>
      <c r="BG100" s="69">
        <f t="shared" si="134"/>
        <v>82658.341783353346</v>
      </c>
      <c r="BH100" s="69">
        <f t="shared" si="134"/>
        <v>85138.092036853966</v>
      </c>
      <c r="BI100" s="69">
        <f t="shared" si="134"/>
        <v>87692.23479795958</v>
      </c>
      <c r="BJ100" s="69">
        <f t="shared" si="134"/>
        <v>90323.001841898353</v>
      </c>
      <c r="BK100" s="69">
        <f t="shared" si="134"/>
        <v>93032.691897155295</v>
      </c>
      <c r="BL100" s="69">
        <f t="shared" si="134"/>
        <v>95823.672654069946</v>
      </c>
      <c r="BM100" s="69">
        <f t="shared" si="134"/>
        <v>98698.382833692056</v>
      </c>
      <c r="BN100" s="69">
        <f t="shared" si="134"/>
        <v>101659.33431870281</v>
      </c>
      <c r="BO100" s="66"/>
      <c r="BP100" s="69">
        <f>+SUM(BP82:BP99)</f>
        <v>113030.05410461947</v>
      </c>
      <c r="BQ100" s="69">
        <f>+SUM(BQ82:BQ99)</f>
        <v>203609.74108116768</v>
      </c>
      <c r="BR100" s="69">
        <f>+SUM(BR82:BR99)</f>
        <v>394170.63499191531</v>
      </c>
      <c r="BS100" s="69">
        <f>+SUM(BS82:BS99)</f>
        <v>654749.21256092552</v>
      </c>
      <c r="BT100" s="69">
        <f>+SUM(BT82:BT99)</f>
        <v>1042274.9423855416</v>
      </c>
    </row>
    <row r="101" spans="1:72" ht="15.75" customHeight="1" x14ac:dyDescent="0.35">
      <c r="A101" s="83"/>
      <c r="B101" s="83"/>
      <c r="C101" s="83"/>
      <c r="D101" s="83"/>
      <c r="E101" s="83"/>
      <c r="F101" s="84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  <c r="AM101" s="85"/>
      <c r="AN101" s="85"/>
      <c r="AO101" s="85"/>
      <c r="AP101" s="85"/>
      <c r="AQ101" s="85"/>
      <c r="AR101" s="85"/>
      <c r="AS101" s="85"/>
      <c r="AT101" s="85"/>
      <c r="AU101" s="85"/>
      <c r="AV101" s="85"/>
      <c r="AW101" s="85"/>
      <c r="AX101" s="85"/>
      <c r="AY101" s="85"/>
      <c r="AZ101" s="85"/>
      <c r="BA101" s="85"/>
      <c r="BB101" s="85"/>
      <c r="BC101" s="85"/>
      <c r="BD101" s="85"/>
      <c r="BE101" s="85"/>
      <c r="BF101" s="85"/>
      <c r="BG101" s="85"/>
      <c r="BH101" s="85"/>
      <c r="BI101" s="85"/>
      <c r="BJ101" s="85"/>
      <c r="BK101" s="85"/>
      <c r="BL101" s="85"/>
      <c r="BM101" s="85"/>
      <c r="BN101" s="85"/>
      <c r="BO101" s="81"/>
      <c r="BP101" s="81"/>
      <c r="BQ101" s="81"/>
      <c r="BR101" s="81"/>
      <c r="BS101" s="81"/>
      <c r="BT101" s="81"/>
    </row>
    <row r="102" spans="1:72" ht="15.75" customHeight="1" x14ac:dyDescent="0.35">
      <c r="A102" s="86" t="s">
        <v>165</v>
      </c>
      <c r="B102" s="86"/>
      <c r="C102" s="86"/>
      <c r="D102" s="86"/>
      <c r="E102" s="86"/>
      <c r="F102" s="87"/>
      <c r="G102" s="87">
        <f t="shared" ref="G102:AL102" si="135">+G73-G100-G77</f>
        <v>21901.45</v>
      </c>
      <c r="H102" s="87">
        <f t="shared" si="135"/>
        <v>52401.086833333342</v>
      </c>
      <c r="I102" s="87">
        <f t="shared" si="135"/>
        <v>83838.902771666675</v>
      </c>
      <c r="J102" s="87">
        <f t="shared" si="135"/>
        <v>116219.85318815001</v>
      </c>
      <c r="K102" s="87">
        <f t="shared" si="135"/>
        <v>149572.23211712786</v>
      </c>
      <c r="L102" s="87">
        <f t="shared" si="135"/>
        <v>183925.18241397501</v>
      </c>
      <c r="M102" s="87">
        <f t="shared" si="135"/>
        <v>219308.72121972762</v>
      </c>
      <c r="N102" s="87">
        <f t="shared" si="135"/>
        <v>255753.76618965279</v>
      </c>
      <c r="O102" s="87">
        <f t="shared" si="135"/>
        <v>293292.16250867565</v>
      </c>
      <c r="P102" s="87">
        <f t="shared" si="135"/>
        <v>331956.71071726934</v>
      </c>
      <c r="Q102" s="87">
        <f t="shared" si="135"/>
        <v>371781.19537212071</v>
      </c>
      <c r="R102" s="87">
        <f t="shared" si="135"/>
        <v>412800.41456661763</v>
      </c>
      <c r="S102" s="87">
        <f t="shared" si="135"/>
        <v>466267.40003290132</v>
      </c>
      <c r="T102" s="87">
        <f t="shared" si="135"/>
        <v>525405.58290565619</v>
      </c>
      <c r="U102" s="87">
        <f t="shared" si="135"/>
        <v>586329.78840647475</v>
      </c>
      <c r="V102" s="87">
        <f t="shared" si="135"/>
        <v>649081.72007231787</v>
      </c>
      <c r="W102" s="87">
        <f t="shared" si="135"/>
        <v>713716.20968813635</v>
      </c>
      <c r="X102" s="87">
        <f t="shared" si="135"/>
        <v>780289.73399242922</v>
      </c>
      <c r="Y102" s="87">
        <f t="shared" si="135"/>
        <v>848860.46402585087</v>
      </c>
      <c r="Z102" s="87">
        <f t="shared" si="135"/>
        <v>919488.31596027547</v>
      </c>
      <c r="AA102" s="87">
        <f t="shared" si="135"/>
        <v>992235.00345273246</v>
      </c>
      <c r="AB102" s="87">
        <f t="shared" si="135"/>
        <v>1067164.0915699634</v>
      </c>
      <c r="AC102" s="87">
        <f t="shared" si="135"/>
        <v>1144341.0523307109</v>
      </c>
      <c r="AD102" s="87">
        <f t="shared" si="135"/>
        <v>1223833.321914281</v>
      </c>
      <c r="AE102" s="87">
        <f t="shared" si="135"/>
        <v>1321573.2970408681</v>
      </c>
      <c r="AF102" s="87">
        <f t="shared" si="135"/>
        <v>1427997.1390059059</v>
      </c>
      <c r="AG102" s="87">
        <f t="shared" si="135"/>
        <v>1537630.4924474782</v>
      </c>
      <c r="AH102" s="87">
        <f t="shared" si="135"/>
        <v>1650552.8464922977</v>
      </c>
      <c r="AI102" s="87">
        <f t="shared" si="135"/>
        <v>1766862.8711584618</v>
      </c>
      <c r="AJ102" s="87">
        <f t="shared" si="135"/>
        <v>1886662.196564611</v>
      </c>
      <c r="AK102" s="87">
        <f t="shared" si="135"/>
        <v>2010055.501732944</v>
      </c>
      <c r="AL102" s="87">
        <f t="shared" si="135"/>
        <v>2137150.6060563279</v>
      </c>
      <c r="AM102" s="87">
        <f t="shared" ref="AM102:BN102" si="136">+AM73-AM100-AM77</f>
        <v>2268058.563509413</v>
      </c>
      <c r="AN102" s="87">
        <f t="shared" si="136"/>
        <v>2402893.7596860914</v>
      </c>
      <c r="AO102" s="87">
        <f t="shared" si="136"/>
        <v>2541774.011748069</v>
      </c>
      <c r="AP102" s="87">
        <f t="shared" si="136"/>
        <v>2684820.6713719061</v>
      </c>
      <c r="AQ102" s="87">
        <f t="shared" si="136"/>
        <v>2697690.788115086</v>
      </c>
      <c r="AR102" s="87">
        <f t="shared" si="136"/>
        <v>2865099.3709249115</v>
      </c>
      <c r="AS102" s="87">
        <f t="shared" si="136"/>
        <v>3037549.2416872336</v>
      </c>
      <c r="AT102" s="87">
        <f t="shared" si="136"/>
        <v>3215172.6085724249</v>
      </c>
      <c r="AU102" s="87">
        <f t="shared" si="136"/>
        <v>3398124.6764641721</v>
      </c>
      <c r="AV102" s="87">
        <f t="shared" si="136"/>
        <v>3586565.3063926725</v>
      </c>
      <c r="AW102" s="87">
        <f t="shared" si="136"/>
        <v>3780659.1552190273</v>
      </c>
      <c r="AX102" s="87">
        <f t="shared" si="136"/>
        <v>3980575.8195101721</v>
      </c>
      <c r="AY102" s="87">
        <f t="shared" si="136"/>
        <v>4186489.9837300531</v>
      </c>
      <c r="AZ102" s="87">
        <f t="shared" si="136"/>
        <v>4398581.5728765307</v>
      </c>
      <c r="BA102" s="87">
        <f t="shared" si="136"/>
        <v>4617035.9096974004</v>
      </c>
      <c r="BB102" s="87">
        <f t="shared" si="136"/>
        <v>4842043.8766228976</v>
      </c>
      <c r="BC102" s="87">
        <f t="shared" si="136"/>
        <v>5093363.480523074</v>
      </c>
      <c r="BD102" s="87">
        <f t="shared" si="136"/>
        <v>5359863.7535137301</v>
      </c>
      <c r="BE102" s="87">
        <f t="shared" si="136"/>
        <v>5634381.3484416772</v>
      </c>
      <c r="BF102" s="87">
        <f t="shared" si="136"/>
        <v>5917134.4712174656</v>
      </c>
      <c r="BG102" s="87">
        <f t="shared" si="136"/>
        <v>6208370.1876765275</v>
      </c>
      <c r="BH102" s="87">
        <f t="shared" si="136"/>
        <v>6508342.9756293595</v>
      </c>
      <c r="BI102" s="87">
        <f t="shared" si="136"/>
        <v>6817314.9472207772</v>
      </c>
      <c r="BJ102" s="87">
        <f t="shared" si="136"/>
        <v>7135556.077959937</v>
      </c>
      <c r="BK102" s="87">
        <f t="shared" si="136"/>
        <v>7463344.4426212683</v>
      </c>
      <c r="BL102" s="87">
        <f t="shared" si="136"/>
        <v>7800966.4582224432</v>
      </c>
      <c r="BM102" s="87">
        <f t="shared" si="136"/>
        <v>8148717.1342916535</v>
      </c>
      <c r="BN102" s="87">
        <f t="shared" si="136"/>
        <v>8507187.7138302196</v>
      </c>
      <c r="BO102" s="66"/>
      <c r="BP102" s="87">
        <f>+BP73-BP100-BP77</f>
        <v>310529.78152624622</v>
      </c>
      <c r="BQ102" s="87">
        <f>+BQ73-BQ100-BQ77</f>
        <v>983196.83751423436</v>
      </c>
      <c r="BR102" s="87">
        <f>+BR73-BR100-BR77</f>
        <v>2270231.6860564058</v>
      </c>
      <c r="BS102" s="87">
        <f>+BS73-BS100-BS77</f>
        <v>4194677.5852920255</v>
      </c>
      <c r="BT102" s="87">
        <f>+BT73-BT100-BT77</f>
        <v>7509110.0201506764</v>
      </c>
    </row>
    <row r="103" spans="1:72" ht="15.75" customHeight="1" x14ac:dyDescent="0.35">
      <c r="A103" s="20"/>
      <c r="B103" s="71" t="s">
        <v>166</v>
      </c>
      <c r="C103" s="20"/>
      <c r="D103" s="20"/>
      <c r="E103" s="20"/>
      <c r="F103" s="20"/>
      <c r="G103" s="88">
        <f t="shared" ref="G103:AL103" si="137">IFERROR((G61-G63)/G61,0)</f>
        <v>1</v>
      </c>
      <c r="H103" s="88">
        <f t="shared" si="137"/>
        <v>1</v>
      </c>
      <c r="I103" s="88">
        <f t="shared" si="137"/>
        <v>1</v>
      </c>
      <c r="J103" s="88">
        <f t="shared" si="137"/>
        <v>1</v>
      </c>
      <c r="K103" s="88">
        <f t="shared" si="137"/>
        <v>1</v>
      </c>
      <c r="L103" s="88">
        <f t="shared" si="137"/>
        <v>1</v>
      </c>
      <c r="M103" s="88">
        <f t="shared" si="137"/>
        <v>1</v>
      </c>
      <c r="N103" s="88">
        <f t="shared" si="137"/>
        <v>1</v>
      </c>
      <c r="O103" s="88">
        <f t="shared" si="137"/>
        <v>1</v>
      </c>
      <c r="P103" s="88">
        <f t="shared" si="137"/>
        <v>1</v>
      </c>
      <c r="Q103" s="88">
        <f t="shared" si="137"/>
        <v>1</v>
      </c>
      <c r="R103" s="88">
        <f t="shared" si="137"/>
        <v>1</v>
      </c>
      <c r="S103" s="88">
        <f t="shared" si="137"/>
        <v>1</v>
      </c>
      <c r="T103" s="88">
        <f t="shared" si="137"/>
        <v>1</v>
      </c>
      <c r="U103" s="88">
        <f t="shared" si="137"/>
        <v>1</v>
      </c>
      <c r="V103" s="88">
        <f t="shared" si="137"/>
        <v>1</v>
      </c>
      <c r="W103" s="88">
        <f t="shared" si="137"/>
        <v>1</v>
      </c>
      <c r="X103" s="88">
        <f t="shared" si="137"/>
        <v>1</v>
      </c>
      <c r="Y103" s="88">
        <f t="shared" si="137"/>
        <v>1</v>
      </c>
      <c r="Z103" s="88">
        <f t="shared" si="137"/>
        <v>1</v>
      </c>
      <c r="AA103" s="88">
        <f t="shared" si="137"/>
        <v>1</v>
      </c>
      <c r="AB103" s="88">
        <f t="shared" si="137"/>
        <v>1</v>
      </c>
      <c r="AC103" s="88">
        <f t="shared" si="137"/>
        <v>1</v>
      </c>
      <c r="AD103" s="88">
        <f t="shared" si="137"/>
        <v>1</v>
      </c>
      <c r="AE103" s="88">
        <f t="shared" si="137"/>
        <v>1</v>
      </c>
      <c r="AF103" s="88">
        <f t="shared" si="137"/>
        <v>1</v>
      </c>
      <c r="AG103" s="88">
        <f t="shared" si="137"/>
        <v>1</v>
      </c>
      <c r="AH103" s="88">
        <f t="shared" si="137"/>
        <v>1</v>
      </c>
      <c r="AI103" s="88">
        <f t="shared" si="137"/>
        <v>1</v>
      </c>
      <c r="AJ103" s="88">
        <f t="shared" si="137"/>
        <v>1</v>
      </c>
      <c r="AK103" s="88">
        <f t="shared" si="137"/>
        <v>1</v>
      </c>
      <c r="AL103" s="88">
        <f t="shared" si="137"/>
        <v>1</v>
      </c>
      <c r="AM103" s="88">
        <f t="shared" ref="AM103:BI103" si="138">IFERROR((AM61-AM63)/AM61,0)</f>
        <v>1</v>
      </c>
      <c r="AN103" s="88">
        <f t="shared" si="138"/>
        <v>1</v>
      </c>
      <c r="AO103" s="88">
        <f t="shared" si="138"/>
        <v>1</v>
      </c>
      <c r="AP103" s="88">
        <f t="shared" si="138"/>
        <v>1</v>
      </c>
      <c r="AQ103" s="88">
        <f t="shared" si="138"/>
        <v>1</v>
      </c>
      <c r="AR103" s="88">
        <f t="shared" si="138"/>
        <v>1</v>
      </c>
      <c r="AS103" s="88">
        <f t="shared" si="138"/>
        <v>1</v>
      </c>
      <c r="AT103" s="88">
        <f t="shared" si="138"/>
        <v>1</v>
      </c>
      <c r="AU103" s="88">
        <f t="shared" si="138"/>
        <v>1</v>
      </c>
      <c r="AV103" s="88">
        <f t="shared" si="138"/>
        <v>1</v>
      </c>
      <c r="AW103" s="88">
        <f t="shared" si="138"/>
        <v>1</v>
      </c>
      <c r="AX103" s="88">
        <f t="shared" si="138"/>
        <v>1</v>
      </c>
      <c r="AY103" s="88">
        <f t="shared" si="138"/>
        <v>1</v>
      </c>
      <c r="AZ103" s="88">
        <f t="shared" si="138"/>
        <v>1</v>
      </c>
      <c r="BA103" s="88">
        <f t="shared" si="138"/>
        <v>1</v>
      </c>
      <c r="BB103" s="88">
        <f t="shared" si="138"/>
        <v>1</v>
      </c>
      <c r="BC103" s="88">
        <f t="shared" si="138"/>
        <v>1</v>
      </c>
      <c r="BD103" s="88">
        <f t="shared" si="138"/>
        <v>1</v>
      </c>
      <c r="BE103" s="88">
        <f t="shared" si="138"/>
        <v>1</v>
      </c>
      <c r="BF103" s="88">
        <f t="shared" si="138"/>
        <v>1</v>
      </c>
      <c r="BG103" s="88">
        <f t="shared" si="138"/>
        <v>1</v>
      </c>
      <c r="BH103" s="88">
        <f t="shared" si="138"/>
        <v>1</v>
      </c>
      <c r="BI103" s="88">
        <f t="shared" si="138"/>
        <v>1</v>
      </c>
      <c r="BJ103" s="88">
        <f>+IFERROR(BJ73/BJ100,"-")</f>
        <v>88.889681920227304</v>
      </c>
      <c r="BK103" s="88">
        <f>+IFERROR(BK73/BK100,"-")</f>
        <v>90.247886463448523</v>
      </c>
      <c r="BL103" s="88">
        <f>+IFERROR(BL73/BL100,"-")</f>
        <v>91.566531651041956</v>
      </c>
      <c r="BM103" s="88">
        <f>+IFERROR(BM73/BM100,"-")</f>
        <v>92.846769697249172</v>
      </c>
      <c r="BN103" s="88">
        <f>+IFERROR(BN73/BN100,"-")</f>
        <v>94.092546180430418</v>
      </c>
      <c r="BO103" s="20"/>
      <c r="BP103" s="88">
        <f>+IFERROR(BP73/BP100,"-")</f>
        <v>3.9446858085384298</v>
      </c>
      <c r="BQ103" s="88">
        <f>+IFERROR(BQ73/BQ100,"-")</f>
        <v>6.1357589862184918</v>
      </c>
      <c r="BR103" s="88">
        <f>+IFERROR(BR73/BR100,"-")</f>
        <v>7.1154251794834709</v>
      </c>
      <c r="BS103" s="88">
        <f>+IFERROR(BS73/BS100,"-")</f>
        <v>8.2298000104377778</v>
      </c>
      <c r="BT103" s="88">
        <f>+IFERROR(BT73/BT100,"-")</f>
        <v>9.116434393089893</v>
      </c>
    </row>
    <row r="104" spans="1:72" ht="15.75" customHeight="1" x14ac:dyDescent="0.3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49"/>
      <c r="BP104" s="49"/>
      <c r="BQ104" s="49"/>
      <c r="BR104" s="49"/>
      <c r="BS104" s="49"/>
      <c r="BT104" s="49"/>
    </row>
    <row r="105" spans="1:72" ht="15.75" customHeight="1" x14ac:dyDescent="0.35">
      <c r="A105" s="89" t="s">
        <v>167</v>
      </c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  <c r="AM105" s="89"/>
      <c r="AN105" s="89"/>
      <c r="AO105" s="89"/>
      <c r="AP105" s="89"/>
      <c r="AQ105" s="89"/>
      <c r="AR105" s="89"/>
      <c r="AS105" s="89"/>
      <c r="AT105" s="89"/>
      <c r="AU105" s="89"/>
      <c r="AV105" s="89"/>
      <c r="AW105" s="89"/>
      <c r="AX105" s="89"/>
      <c r="AY105" s="89"/>
      <c r="AZ105" s="89"/>
      <c r="BA105" s="89"/>
      <c r="BB105" s="89"/>
      <c r="BC105" s="89"/>
      <c r="BD105" s="89"/>
      <c r="BE105" s="89"/>
      <c r="BF105" s="89"/>
      <c r="BG105" s="89"/>
      <c r="BH105" s="89"/>
      <c r="BI105" s="89"/>
      <c r="BJ105" s="89"/>
      <c r="BK105" s="89"/>
      <c r="BL105" s="89"/>
      <c r="BM105" s="89"/>
      <c r="BN105" s="89"/>
      <c r="BO105" s="20"/>
      <c r="BP105" s="89"/>
      <c r="BQ105" s="89"/>
      <c r="BR105" s="89"/>
      <c r="BS105" s="89"/>
      <c r="BT105" s="89"/>
    </row>
    <row r="106" spans="1:72" ht="15.75" customHeight="1" outlineLevel="1" x14ac:dyDescent="0.35">
      <c r="A106" s="20"/>
      <c r="B106" s="27" t="s">
        <v>111</v>
      </c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</row>
    <row r="107" spans="1:72" ht="15.75" customHeight="1" outlineLevel="1" x14ac:dyDescent="0.35">
      <c r="A107" s="20"/>
      <c r="B107" s="20"/>
      <c r="C107" s="20" t="s">
        <v>168</v>
      </c>
      <c r="D107" s="20"/>
      <c r="E107" s="20"/>
      <c r="F107" s="90">
        <f>'3.Premissas de Despesas'!B4</f>
        <v>8000</v>
      </c>
      <c r="G107" s="66">
        <f t="shared" ref="G107:R108" si="139">$F107</f>
        <v>8000</v>
      </c>
      <c r="H107" s="66">
        <f t="shared" si="139"/>
        <v>8000</v>
      </c>
      <c r="I107" s="66">
        <f t="shared" si="139"/>
        <v>8000</v>
      </c>
      <c r="J107" s="66">
        <f t="shared" si="139"/>
        <v>8000</v>
      </c>
      <c r="K107" s="66">
        <f t="shared" si="139"/>
        <v>8000</v>
      </c>
      <c r="L107" s="66">
        <f t="shared" si="139"/>
        <v>8000</v>
      </c>
      <c r="M107" s="66">
        <f t="shared" si="139"/>
        <v>8000</v>
      </c>
      <c r="N107" s="66">
        <f t="shared" si="139"/>
        <v>8000</v>
      </c>
      <c r="O107" s="66">
        <f t="shared" si="139"/>
        <v>8000</v>
      </c>
      <c r="P107" s="66">
        <f t="shared" si="139"/>
        <v>8000</v>
      </c>
      <c r="Q107" s="66">
        <f t="shared" si="139"/>
        <v>8000</v>
      </c>
      <c r="R107" s="66">
        <f t="shared" si="139"/>
        <v>8000</v>
      </c>
      <c r="S107" s="66">
        <f>$F107+(F107*'3.Premissas de Despesas'!$B$23)</f>
        <v>8800</v>
      </c>
      <c r="T107" s="66">
        <f t="shared" ref="T107:AD107" si="140">$S$107</f>
        <v>8800</v>
      </c>
      <c r="U107" s="66">
        <f t="shared" si="140"/>
        <v>8800</v>
      </c>
      <c r="V107" s="66">
        <f t="shared" si="140"/>
        <v>8800</v>
      </c>
      <c r="W107" s="66">
        <f t="shared" si="140"/>
        <v>8800</v>
      </c>
      <c r="X107" s="66">
        <f t="shared" si="140"/>
        <v>8800</v>
      </c>
      <c r="Y107" s="66">
        <f t="shared" si="140"/>
        <v>8800</v>
      </c>
      <c r="Z107" s="66">
        <f t="shared" si="140"/>
        <v>8800</v>
      </c>
      <c r="AA107" s="66">
        <f t="shared" si="140"/>
        <v>8800</v>
      </c>
      <c r="AB107" s="66">
        <f t="shared" si="140"/>
        <v>8800</v>
      </c>
      <c r="AC107" s="66">
        <f t="shared" si="140"/>
        <v>8800</v>
      </c>
      <c r="AD107" s="66">
        <f t="shared" si="140"/>
        <v>8800</v>
      </c>
      <c r="AE107" s="66">
        <f>$F107+(R107*'3.Premissas de Despesas'!$B$24)</f>
        <v>9200</v>
      </c>
      <c r="AF107" s="66">
        <f t="shared" ref="AF107:AP107" si="141">$AE$107</f>
        <v>9200</v>
      </c>
      <c r="AG107" s="66">
        <f t="shared" si="141"/>
        <v>9200</v>
      </c>
      <c r="AH107" s="66">
        <f t="shared" si="141"/>
        <v>9200</v>
      </c>
      <c r="AI107" s="66">
        <f t="shared" si="141"/>
        <v>9200</v>
      </c>
      <c r="AJ107" s="66">
        <f t="shared" si="141"/>
        <v>9200</v>
      </c>
      <c r="AK107" s="66">
        <f t="shared" si="141"/>
        <v>9200</v>
      </c>
      <c r="AL107" s="66">
        <f t="shared" si="141"/>
        <v>9200</v>
      </c>
      <c r="AM107" s="66">
        <f t="shared" si="141"/>
        <v>9200</v>
      </c>
      <c r="AN107" s="66">
        <f t="shared" si="141"/>
        <v>9200</v>
      </c>
      <c r="AO107" s="66">
        <f t="shared" si="141"/>
        <v>9200</v>
      </c>
      <c r="AP107" s="66">
        <f t="shared" si="141"/>
        <v>9200</v>
      </c>
      <c r="AQ107" s="66">
        <f>$F107+(AD107*'3.Premissas de Despesas'!$B$25)</f>
        <v>9760</v>
      </c>
      <c r="AR107" s="66">
        <f t="shared" ref="AR107:BB107" si="142">$AQ$107</f>
        <v>9760</v>
      </c>
      <c r="AS107" s="66">
        <f t="shared" si="142"/>
        <v>9760</v>
      </c>
      <c r="AT107" s="66">
        <f t="shared" si="142"/>
        <v>9760</v>
      </c>
      <c r="AU107" s="66">
        <f t="shared" si="142"/>
        <v>9760</v>
      </c>
      <c r="AV107" s="66">
        <f t="shared" si="142"/>
        <v>9760</v>
      </c>
      <c r="AW107" s="66">
        <f t="shared" si="142"/>
        <v>9760</v>
      </c>
      <c r="AX107" s="66">
        <f t="shared" si="142"/>
        <v>9760</v>
      </c>
      <c r="AY107" s="66">
        <f t="shared" si="142"/>
        <v>9760</v>
      </c>
      <c r="AZ107" s="66">
        <f t="shared" si="142"/>
        <v>9760</v>
      </c>
      <c r="BA107" s="66">
        <f t="shared" si="142"/>
        <v>9760</v>
      </c>
      <c r="BB107" s="66">
        <f t="shared" si="142"/>
        <v>9760</v>
      </c>
      <c r="BC107" s="66">
        <f>$F107+(AP107*'3.Premissas de Despesas'!$B$26)</f>
        <v>10300</v>
      </c>
      <c r="BD107" s="66">
        <f t="shared" ref="BD107:BN107" si="143">$BC$107</f>
        <v>10300</v>
      </c>
      <c r="BE107" s="66">
        <f t="shared" si="143"/>
        <v>10300</v>
      </c>
      <c r="BF107" s="66">
        <f t="shared" si="143"/>
        <v>10300</v>
      </c>
      <c r="BG107" s="66">
        <f t="shared" si="143"/>
        <v>10300</v>
      </c>
      <c r="BH107" s="66">
        <f t="shared" si="143"/>
        <v>10300</v>
      </c>
      <c r="BI107" s="66">
        <f t="shared" si="143"/>
        <v>10300</v>
      </c>
      <c r="BJ107" s="66">
        <f t="shared" si="143"/>
        <v>10300</v>
      </c>
      <c r="BK107" s="66">
        <f t="shared" si="143"/>
        <v>10300</v>
      </c>
      <c r="BL107" s="66">
        <f t="shared" si="143"/>
        <v>10300</v>
      </c>
      <c r="BM107" s="66">
        <f t="shared" si="143"/>
        <v>10300</v>
      </c>
      <c r="BN107" s="66">
        <f t="shared" si="143"/>
        <v>10300</v>
      </c>
      <c r="BO107" s="66"/>
      <c r="BP107" s="66">
        <f t="shared" ref="BP107:BP118" si="144">SUM(G107:R107)</f>
        <v>96000</v>
      </c>
      <c r="BQ107" s="66">
        <f t="shared" ref="BQ107:BQ118" si="145">SUM(T107:AD107)</f>
        <v>96800</v>
      </c>
      <c r="BR107" s="66">
        <f t="shared" ref="BR107:BR118" si="146">SUM(AE107:AP107)</f>
        <v>110400</v>
      </c>
      <c r="BS107" s="66">
        <f t="shared" ref="BS107:BS118" si="147">SUM(AQ107:BB107)</f>
        <v>117120</v>
      </c>
      <c r="BT107" s="66">
        <f t="shared" ref="BT107:BT118" si="148">SUM(BC107:BN107)</f>
        <v>123600</v>
      </c>
    </row>
    <row r="108" spans="1:72" ht="15.75" customHeight="1" outlineLevel="1" x14ac:dyDescent="0.35">
      <c r="A108" s="20"/>
      <c r="B108" s="20"/>
      <c r="C108" s="20" t="s">
        <v>115</v>
      </c>
      <c r="D108" s="20"/>
      <c r="E108" s="20"/>
      <c r="F108" s="90">
        <f>'3.Premissas de Despesas'!B5</f>
        <v>18333</v>
      </c>
      <c r="G108" s="66">
        <f t="shared" si="139"/>
        <v>18333</v>
      </c>
      <c r="H108" s="66">
        <f t="shared" si="139"/>
        <v>18333</v>
      </c>
      <c r="I108" s="66">
        <f t="shared" si="139"/>
        <v>18333</v>
      </c>
      <c r="J108" s="66">
        <f t="shared" si="139"/>
        <v>18333</v>
      </c>
      <c r="K108" s="66">
        <f t="shared" si="139"/>
        <v>18333</v>
      </c>
      <c r="L108" s="66">
        <f t="shared" si="139"/>
        <v>18333</v>
      </c>
      <c r="M108" s="66">
        <f t="shared" si="139"/>
        <v>18333</v>
      </c>
      <c r="N108" s="66">
        <f t="shared" si="139"/>
        <v>18333</v>
      </c>
      <c r="O108" s="66">
        <f t="shared" si="139"/>
        <v>18333</v>
      </c>
      <c r="P108" s="66">
        <f t="shared" si="139"/>
        <v>18333</v>
      </c>
      <c r="Q108" s="66">
        <f t="shared" si="139"/>
        <v>18333</v>
      </c>
      <c r="R108" s="66">
        <f t="shared" si="139"/>
        <v>18333</v>
      </c>
      <c r="S108" s="66">
        <f>$F108+(F108*'3.Premissas de Despesas'!$B$23)</f>
        <v>20166.3</v>
      </c>
      <c r="T108" s="66">
        <f t="shared" ref="T108:AD108" si="149">$S$108</f>
        <v>20166.3</v>
      </c>
      <c r="U108" s="66">
        <f t="shared" si="149"/>
        <v>20166.3</v>
      </c>
      <c r="V108" s="66">
        <f t="shared" si="149"/>
        <v>20166.3</v>
      </c>
      <c r="W108" s="66">
        <f t="shared" si="149"/>
        <v>20166.3</v>
      </c>
      <c r="X108" s="66">
        <f t="shared" si="149"/>
        <v>20166.3</v>
      </c>
      <c r="Y108" s="66">
        <f t="shared" si="149"/>
        <v>20166.3</v>
      </c>
      <c r="Z108" s="66">
        <f t="shared" si="149"/>
        <v>20166.3</v>
      </c>
      <c r="AA108" s="66">
        <f t="shared" si="149"/>
        <v>20166.3</v>
      </c>
      <c r="AB108" s="66">
        <f t="shared" si="149"/>
        <v>20166.3</v>
      </c>
      <c r="AC108" s="66">
        <f t="shared" si="149"/>
        <v>20166.3</v>
      </c>
      <c r="AD108" s="66">
        <f t="shared" si="149"/>
        <v>20166.3</v>
      </c>
      <c r="AE108" s="66">
        <f>$F108+(R108*'3.Premissas de Despesas'!$B$24)</f>
        <v>21082.95</v>
      </c>
      <c r="AF108" s="66">
        <f t="shared" ref="AF108:AP108" si="150">$AE$108</f>
        <v>21082.95</v>
      </c>
      <c r="AG108" s="66">
        <f t="shared" si="150"/>
        <v>21082.95</v>
      </c>
      <c r="AH108" s="66">
        <f t="shared" si="150"/>
        <v>21082.95</v>
      </c>
      <c r="AI108" s="66">
        <f t="shared" si="150"/>
        <v>21082.95</v>
      </c>
      <c r="AJ108" s="66">
        <f t="shared" si="150"/>
        <v>21082.95</v>
      </c>
      <c r="AK108" s="66">
        <f t="shared" si="150"/>
        <v>21082.95</v>
      </c>
      <c r="AL108" s="66">
        <f t="shared" si="150"/>
        <v>21082.95</v>
      </c>
      <c r="AM108" s="66">
        <f t="shared" si="150"/>
        <v>21082.95</v>
      </c>
      <c r="AN108" s="66">
        <f t="shared" si="150"/>
        <v>21082.95</v>
      </c>
      <c r="AO108" s="66">
        <f t="shared" si="150"/>
        <v>21082.95</v>
      </c>
      <c r="AP108" s="66">
        <f t="shared" si="150"/>
        <v>21082.95</v>
      </c>
      <c r="AQ108" s="66">
        <f>$F108+(AD108*'3.Premissas de Despesas'!$B$25)</f>
        <v>22366.260000000002</v>
      </c>
      <c r="AR108" s="66">
        <f t="shared" ref="AR108:BB108" si="151">$AQ$108</f>
        <v>22366.260000000002</v>
      </c>
      <c r="AS108" s="66">
        <f t="shared" si="151"/>
        <v>22366.260000000002</v>
      </c>
      <c r="AT108" s="66">
        <f t="shared" si="151"/>
        <v>22366.260000000002</v>
      </c>
      <c r="AU108" s="66">
        <f t="shared" si="151"/>
        <v>22366.260000000002</v>
      </c>
      <c r="AV108" s="66">
        <f t="shared" si="151"/>
        <v>22366.260000000002</v>
      </c>
      <c r="AW108" s="66">
        <f t="shared" si="151"/>
        <v>22366.260000000002</v>
      </c>
      <c r="AX108" s="66">
        <f t="shared" si="151"/>
        <v>22366.260000000002</v>
      </c>
      <c r="AY108" s="66">
        <f t="shared" si="151"/>
        <v>22366.260000000002</v>
      </c>
      <c r="AZ108" s="66">
        <f t="shared" si="151"/>
        <v>22366.260000000002</v>
      </c>
      <c r="BA108" s="66">
        <f t="shared" si="151"/>
        <v>22366.260000000002</v>
      </c>
      <c r="BB108" s="66">
        <f t="shared" si="151"/>
        <v>22366.260000000002</v>
      </c>
      <c r="BC108" s="66">
        <f>$F108+(AP108*'3.Premissas de Despesas'!$B$26)</f>
        <v>23603.737499999999</v>
      </c>
      <c r="BD108" s="66">
        <f t="shared" ref="BD108:BN108" si="152">$BC$108</f>
        <v>23603.737499999999</v>
      </c>
      <c r="BE108" s="66">
        <f t="shared" si="152"/>
        <v>23603.737499999999</v>
      </c>
      <c r="BF108" s="66">
        <f t="shared" si="152"/>
        <v>23603.737499999999</v>
      </c>
      <c r="BG108" s="66">
        <f t="shared" si="152"/>
        <v>23603.737499999999</v>
      </c>
      <c r="BH108" s="66">
        <f t="shared" si="152"/>
        <v>23603.737499999999</v>
      </c>
      <c r="BI108" s="66">
        <f t="shared" si="152"/>
        <v>23603.737499999999</v>
      </c>
      <c r="BJ108" s="66">
        <f t="shared" si="152"/>
        <v>23603.737499999999</v>
      </c>
      <c r="BK108" s="66">
        <f t="shared" si="152"/>
        <v>23603.737499999999</v>
      </c>
      <c r="BL108" s="66">
        <f t="shared" si="152"/>
        <v>23603.737499999999</v>
      </c>
      <c r="BM108" s="66">
        <f t="shared" si="152"/>
        <v>23603.737499999999</v>
      </c>
      <c r="BN108" s="66">
        <f t="shared" si="152"/>
        <v>23603.737499999999</v>
      </c>
      <c r="BO108" s="66"/>
      <c r="BP108" s="66">
        <f t="shared" si="144"/>
        <v>219996</v>
      </c>
      <c r="BQ108" s="66">
        <f t="shared" si="145"/>
        <v>221829.29999999996</v>
      </c>
      <c r="BR108" s="66">
        <f t="shared" si="146"/>
        <v>252995.40000000005</v>
      </c>
      <c r="BS108" s="66">
        <f t="shared" si="147"/>
        <v>268395.12000000005</v>
      </c>
      <c r="BT108" s="66">
        <f t="shared" si="148"/>
        <v>283244.84999999992</v>
      </c>
    </row>
    <row r="109" spans="1:72" ht="15.75" customHeight="1" outlineLevel="1" x14ac:dyDescent="0.35">
      <c r="A109" s="20"/>
      <c r="B109" s="20"/>
      <c r="C109" s="20"/>
      <c r="D109" s="20"/>
      <c r="E109" s="20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>
        <f>$F109+(F109*'3.Premissas de Despesas'!$B$23)</f>
        <v>0</v>
      </c>
      <c r="T109" s="66">
        <f t="shared" ref="T109:AD109" si="153">$S$109</f>
        <v>0</v>
      </c>
      <c r="U109" s="66">
        <f t="shared" si="153"/>
        <v>0</v>
      </c>
      <c r="V109" s="66">
        <f t="shared" si="153"/>
        <v>0</v>
      </c>
      <c r="W109" s="66">
        <f t="shared" si="153"/>
        <v>0</v>
      </c>
      <c r="X109" s="66">
        <f t="shared" si="153"/>
        <v>0</v>
      </c>
      <c r="Y109" s="66">
        <f t="shared" si="153"/>
        <v>0</v>
      </c>
      <c r="Z109" s="66">
        <f t="shared" si="153"/>
        <v>0</v>
      </c>
      <c r="AA109" s="66">
        <f t="shared" si="153"/>
        <v>0</v>
      </c>
      <c r="AB109" s="66">
        <f t="shared" si="153"/>
        <v>0</v>
      </c>
      <c r="AC109" s="66">
        <f t="shared" si="153"/>
        <v>0</v>
      </c>
      <c r="AD109" s="66">
        <f t="shared" si="153"/>
        <v>0</v>
      </c>
      <c r="AE109" s="66">
        <f>$F109+(R109*'3.Premissas de Despesas'!$B$24)</f>
        <v>0</v>
      </c>
      <c r="AF109" s="66">
        <f t="shared" ref="AF109:AP109" si="154">$AE$109</f>
        <v>0</v>
      </c>
      <c r="AG109" s="66">
        <f t="shared" si="154"/>
        <v>0</v>
      </c>
      <c r="AH109" s="66">
        <f t="shared" si="154"/>
        <v>0</v>
      </c>
      <c r="AI109" s="66">
        <f t="shared" si="154"/>
        <v>0</v>
      </c>
      <c r="AJ109" s="66">
        <f t="shared" si="154"/>
        <v>0</v>
      </c>
      <c r="AK109" s="66">
        <f t="shared" si="154"/>
        <v>0</v>
      </c>
      <c r="AL109" s="66">
        <f t="shared" si="154"/>
        <v>0</v>
      </c>
      <c r="AM109" s="66">
        <f t="shared" si="154"/>
        <v>0</v>
      </c>
      <c r="AN109" s="66">
        <f t="shared" si="154"/>
        <v>0</v>
      </c>
      <c r="AO109" s="66">
        <f t="shared" si="154"/>
        <v>0</v>
      </c>
      <c r="AP109" s="66">
        <f t="shared" si="154"/>
        <v>0</v>
      </c>
      <c r="AQ109" s="66">
        <f>$F109+(AD109*'3.Premissas de Despesas'!$B$25)</f>
        <v>0</v>
      </c>
      <c r="AR109" s="66">
        <f t="shared" ref="AR109:BB109" si="155">$AQ$109</f>
        <v>0</v>
      </c>
      <c r="AS109" s="66">
        <f t="shared" si="155"/>
        <v>0</v>
      </c>
      <c r="AT109" s="66">
        <f t="shared" si="155"/>
        <v>0</v>
      </c>
      <c r="AU109" s="66">
        <f t="shared" si="155"/>
        <v>0</v>
      </c>
      <c r="AV109" s="66">
        <f t="shared" si="155"/>
        <v>0</v>
      </c>
      <c r="AW109" s="66">
        <f t="shared" si="155"/>
        <v>0</v>
      </c>
      <c r="AX109" s="66">
        <f t="shared" si="155"/>
        <v>0</v>
      </c>
      <c r="AY109" s="66">
        <f t="shared" si="155"/>
        <v>0</v>
      </c>
      <c r="AZ109" s="66">
        <f t="shared" si="155"/>
        <v>0</v>
      </c>
      <c r="BA109" s="66">
        <f t="shared" si="155"/>
        <v>0</v>
      </c>
      <c r="BB109" s="66">
        <f t="shared" si="155"/>
        <v>0</v>
      </c>
      <c r="BC109" s="66">
        <f>$F109+(AP109*'3.Premissas de Despesas'!$B$26)</f>
        <v>0</v>
      </c>
      <c r="BD109" s="66">
        <f t="shared" ref="BD109:BN109" si="156">$BC$109</f>
        <v>0</v>
      </c>
      <c r="BE109" s="66">
        <f t="shared" si="156"/>
        <v>0</v>
      </c>
      <c r="BF109" s="66">
        <f t="shared" si="156"/>
        <v>0</v>
      </c>
      <c r="BG109" s="66">
        <f t="shared" si="156"/>
        <v>0</v>
      </c>
      <c r="BH109" s="66">
        <f t="shared" si="156"/>
        <v>0</v>
      </c>
      <c r="BI109" s="66">
        <f t="shared" si="156"/>
        <v>0</v>
      </c>
      <c r="BJ109" s="66">
        <f t="shared" si="156"/>
        <v>0</v>
      </c>
      <c r="BK109" s="66">
        <f t="shared" si="156"/>
        <v>0</v>
      </c>
      <c r="BL109" s="66">
        <f t="shared" si="156"/>
        <v>0</v>
      </c>
      <c r="BM109" s="66">
        <f t="shared" si="156"/>
        <v>0</v>
      </c>
      <c r="BN109" s="66">
        <f t="shared" si="156"/>
        <v>0</v>
      </c>
      <c r="BO109" s="66"/>
      <c r="BP109" s="66">
        <f t="shared" si="144"/>
        <v>0</v>
      </c>
      <c r="BQ109" s="66">
        <f t="shared" si="145"/>
        <v>0</v>
      </c>
      <c r="BR109" s="66">
        <f t="shared" si="146"/>
        <v>0</v>
      </c>
      <c r="BS109" s="66">
        <f t="shared" si="147"/>
        <v>0</v>
      </c>
      <c r="BT109" s="66">
        <f t="shared" si="148"/>
        <v>0</v>
      </c>
    </row>
    <row r="110" spans="1:72" ht="15.75" customHeight="1" outlineLevel="1" x14ac:dyDescent="0.35">
      <c r="A110" s="20"/>
      <c r="B110" s="27" t="s">
        <v>116</v>
      </c>
      <c r="C110" s="20"/>
      <c r="D110" s="20"/>
      <c r="E110" s="20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>
        <f>$F110+(F110*'3.Premissas de Despesas'!$B$23)</f>
        <v>0</v>
      </c>
      <c r="T110" s="66">
        <f t="shared" ref="T110:AD110" si="157">$S$110</f>
        <v>0</v>
      </c>
      <c r="U110" s="66">
        <f t="shared" si="157"/>
        <v>0</v>
      </c>
      <c r="V110" s="66">
        <f t="shared" si="157"/>
        <v>0</v>
      </c>
      <c r="W110" s="66">
        <f t="shared" si="157"/>
        <v>0</v>
      </c>
      <c r="X110" s="66">
        <f t="shared" si="157"/>
        <v>0</v>
      </c>
      <c r="Y110" s="66">
        <f t="shared" si="157"/>
        <v>0</v>
      </c>
      <c r="Z110" s="66">
        <f t="shared" si="157"/>
        <v>0</v>
      </c>
      <c r="AA110" s="66">
        <f t="shared" si="157"/>
        <v>0</v>
      </c>
      <c r="AB110" s="66">
        <f t="shared" si="157"/>
        <v>0</v>
      </c>
      <c r="AC110" s="66">
        <f t="shared" si="157"/>
        <v>0</v>
      </c>
      <c r="AD110" s="66">
        <f t="shared" si="157"/>
        <v>0</v>
      </c>
      <c r="AE110" s="66">
        <f>$F110+(R110*'3.Premissas de Despesas'!$B$24)</f>
        <v>0</v>
      </c>
      <c r="AF110" s="66">
        <f t="shared" ref="AF110:AP110" si="158">$AE$110</f>
        <v>0</v>
      </c>
      <c r="AG110" s="66">
        <f t="shared" si="158"/>
        <v>0</v>
      </c>
      <c r="AH110" s="66">
        <f t="shared" si="158"/>
        <v>0</v>
      </c>
      <c r="AI110" s="66">
        <f t="shared" si="158"/>
        <v>0</v>
      </c>
      <c r="AJ110" s="66">
        <f t="shared" si="158"/>
        <v>0</v>
      </c>
      <c r="AK110" s="66">
        <f t="shared" si="158"/>
        <v>0</v>
      </c>
      <c r="AL110" s="66">
        <f t="shared" si="158"/>
        <v>0</v>
      </c>
      <c r="AM110" s="66">
        <f t="shared" si="158"/>
        <v>0</v>
      </c>
      <c r="AN110" s="66">
        <f t="shared" si="158"/>
        <v>0</v>
      </c>
      <c r="AO110" s="66">
        <f t="shared" si="158"/>
        <v>0</v>
      </c>
      <c r="AP110" s="66">
        <f t="shared" si="158"/>
        <v>0</v>
      </c>
      <c r="AQ110" s="66">
        <f>$F110+(AD110*'3.Premissas de Despesas'!$B$25)</f>
        <v>0</v>
      </c>
      <c r="AR110" s="66">
        <f t="shared" ref="AR110:BB110" si="159">$AQ$110</f>
        <v>0</v>
      </c>
      <c r="AS110" s="66">
        <f t="shared" si="159"/>
        <v>0</v>
      </c>
      <c r="AT110" s="66">
        <f t="shared" si="159"/>
        <v>0</v>
      </c>
      <c r="AU110" s="66">
        <f t="shared" si="159"/>
        <v>0</v>
      </c>
      <c r="AV110" s="66">
        <f t="shared" si="159"/>
        <v>0</v>
      </c>
      <c r="AW110" s="66">
        <f t="shared" si="159"/>
        <v>0</v>
      </c>
      <c r="AX110" s="66">
        <f t="shared" si="159"/>
        <v>0</v>
      </c>
      <c r="AY110" s="66">
        <f t="shared" si="159"/>
        <v>0</v>
      </c>
      <c r="AZ110" s="66">
        <f t="shared" si="159"/>
        <v>0</v>
      </c>
      <c r="BA110" s="66">
        <f t="shared" si="159"/>
        <v>0</v>
      </c>
      <c r="BB110" s="66">
        <f t="shared" si="159"/>
        <v>0</v>
      </c>
      <c r="BC110" s="66">
        <f>$F110+(AP110*'3.Premissas de Despesas'!$B$26)</f>
        <v>0</v>
      </c>
      <c r="BD110" s="66">
        <f t="shared" ref="BD110:BN110" si="160">$BC$110</f>
        <v>0</v>
      </c>
      <c r="BE110" s="66">
        <f t="shared" si="160"/>
        <v>0</v>
      </c>
      <c r="BF110" s="66">
        <f t="shared" si="160"/>
        <v>0</v>
      </c>
      <c r="BG110" s="66">
        <f t="shared" si="160"/>
        <v>0</v>
      </c>
      <c r="BH110" s="66">
        <f t="shared" si="160"/>
        <v>0</v>
      </c>
      <c r="BI110" s="66">
        <f t="shared" si="160"/>
        <v>0</v>
      </c>
      <c r="BJ110" s="66">
        <f t="shared" si="160"/>
        <v>0</v>
      </c>
      <c r="BK110" s="66">
        <f t="shared" si="160"/>
        <v>0</v>
      </c>
      <c r="BL110" s="66">
        <f t="shared" si="160"/>
        <v>0</v>
      </c>
      <c r="BM110" s="66">
        <f t="shared" si="160"/>
        <v>0</v>
      </c>
      <c r="BN110" s="66">
        <f t="shared" si="160"/>
        <v>0</v>
      </c>
      <c r="BO110" s="66"/>
      <c r="BP110" s="66">
        <f t="shared" si="144"/>
        <v>0</v>
      </c>
      <c r="BQ110" s="66">
        <f t="shared" si="145"/>
        <v>0</v>
      </c>
      <c r="BR110" s="66">
        <f t="shared" si="146"/>
        <v>0</v>
      </c>
      <c r="BS110" s="66">
        <f t="shared" si="147"/>
        <v>0</v>
      </c>
      <c r="BT110" s="66">
        <f t="shared" si="148"/>
        <v>0</v>
      </c>
    </row>
    <row r="111" spans="1:72" ht="15.75" customHeight="1" outlineLevel="1" x14ac:dyDescent="0.35">
      <c r="A111" s="20"/>
      <c r="B111" s="20"/>
      <c r="C111" s="20" t="s">
        <v>169</v>
      </c>
      <c r="D111" s="20"/>
      <c r="E111" s="20"/>
      <c r="F111" s="90">
        <f>'3.Premissas de Despesas'!B8</f>
        <v>12000</v>
      </c>
      <c r="G111" s="66">
        <f t="shared" ref="G111:R112" si="161">$F111</f>
        <v>12000</v>
      </c>
      <c r="H111" s="66">
        <f t="shared" si="161"/>
        <v>12000</v>
      </c>
      <c r="I111" s="66">
        <f t="shared" si="161"/>
        <v>12000</v>
      </c>
      <c r="J111" s="66">
        <f t="shared" si="161"/>
        <v>12000</v>
      </c>
      <c r="K111" s="66">
        <f t="shared" si="161"/>
        <v>12000</v>
      </c>
      <c r="L111" s="66">
        <f t="shared" si="161"/>
        <v>12000</v>
      </c>
      <c r="M111" s="66">
        <f t="shared" si="161"/>
        <v>12000</v>
      </c>
      <c r="N111" s="66">
        <f t="shared" si="161"/>
        <v>12000</v>
      </c>
      <c r="O111" s="66">
        <f t="shared" si="161"/>
        <v>12000</v>
      </c>
      <c r="P111" s="66">
        <f t="shared" si="161"/>
        <v>12000</v>
      </c>
      <c r="Q111" s="66">
        <f t="shared" si="161"/>
        <v>12000</v>
      </c>
      <c r="R111" s="66">
        <f t="shared" si="161"/>
        <v>12000</v>
      </c>
      <c r="S111" s="66">
        <f>$F111+(F111*'3.Premissas de Despesas'!$B$23)</f>
        <v>13200</v>
      </c>
      <c r="T111" s="66">
        <f t="shared" ref="T111:AD111" si="162">$S$111</f>
        <v>13200</v>
      </c>
      <c r="U111" s="66">
        <f t="shared" si="162"/>
        <v>13200</v>
      </c>
      <c r="V111" s="66">
        <f t="shared" si="162"/>
        <v>13200</v>
      </c>
      <c r="W111" s="66">
        <f t="shared" si="162"/>
        <v>13200</v>
      </c>
      <c r="X111" s="66">
        <f t="shared" si="162"/>
        <v>13200</v>
      </c>
      <c r="Y111" s="66">
        <f t="shared" si="162"/>
        <v>13200</v>
      </c>
      <c r="Z111" s="66">
        <f t="shared" si="162"/>
        <v>13200</v>
      </c>
      <c r="AA111" s="66">
        <f t="shared" si="162"/>
        <v>13200</v>
      </c>
      <c r="AB111" s="66">
        <f t="shared" si="162"/>
        <v>13200</v>
      </c>
      <c r="AC111" s="66">
        <f t="shared" si="162"/>
        <v>13200</v>
      </c>
      <c r="AD111" s="66">
        <f t="shared" si="162"/>
        <v>13200</v>
      </c>
      <c r="AE111" s="66">
        <f>$F111+(R111*'3.Premissas de Despesas'!$B$24)</f>
        <v>13800</v>
      </c>
      <c r="AF111" s="66">
        <f t="shared" ref="AF111:AP111" si="163">$AE$111</f>
        <v>13800</v>
      </c>
      <c r="AG111" s="66">
        <f t="shared" si="163"/>
        <v>13800</v>
      </c>
      <c r="AH111" s="66">
        <f t="shared" si="163"/>
        <v>13800</v>
      </c>
      <c r="AI111" s="66">
        <f t="shared" si="163"/>
        <v>13800</v>
      </c>
      <c r="AJ111" s="66">
        <f t="shared" si="163"/>
        <v>13800</v>
      </c>
      <c r="AK111" s="66">
        <f t="shared" si="163"/>
        <v>13800</v>
      </c>
      <c r="AL111" s="66">
        <f t="shared" si="163"/>
        <v>13800</v>
      </c>
      <c r="AM111" s="66">
        <f t="shared" si="163"/>
        <v>13800</v>
      </c>
      <c r="AN111" s="66">
        <f t="shared" si="163"/>
        <v>13800</v>
      </c>
      <c r="AO111" s="66">
        <f t="shared" si="163"/>
        <v>13800</v>
      </c>
      <c r="AP111" s="66">
        <f t="shared" si="163"/>
        <v>13800</v>
      </c>
      <c r="AQ111" s="66">
        <f>$F111+(AD111*'3.Premissas de Despesas'!$B$25)</f>
        <v>14640</v>
      </c>
      <c r="AR111" s="66">
        <f t="shared" ref="AR111:BB111" si="164">$AQ$111</f>
        <v>14640</v>
      </c>
      <c r="AS111" s="66">
        <f t="shared" si="164"/>
        <v>14640</v>
      </c>
      <c r="AT111" s="66">
        <f t="shared" si="164"/>
        <v>14640</v>
      </c>
      <c r="AU111" s="66">
        <f t="shared" si="164"/>
        <v>14640</v>
      </c>
      <c r="AV111" s="66">
        <f t="shared" si="164"/>
        <v>14640</v>
      </c>
      <c r="AW111" s="66">
        <f t="shared" si="164"/>
        <v>14640</v>
      </c>
      <c r="AX111" s="66">
        <f t="shared" si="164"/>
        <v>14640</v>
      </c>
      <c r="AY111" s="66">
        <f t="shared" si="164"/>
        <v>14640</v>
      </c>
      <c r="AZ111" s="66">
        <f t="shared" si="164"/>
        <v>14640</v>
      </c>
      <c r="BA111" s="66">
        <f t="shared" si="164"/>
        <v>14640</v>
      </c>
      <c r="BB111" s="66">
        <f t="shared" si="164"/>
        <v>14640</v>
      </c>
      <c r="BC111" s="66">
        <f>$F111+(AP111*'3.Premissas de Despesas'!$B$26)</f>
        <v>15450</v>
      </c>
      <c r="BD111" s="66">
        <f t="shared" ref="BD111:BN111" si="165">$BC$111</f>
        <v>15450</v>
      </c>
      <c r="BE111" s="66">
        <f t="shared" si="165"/>
        <v>15450</v>
      </c>
      <c r="BF111" s="66">
        <f t="shared" si="165"/>
        <v>15450</v>
      </c>
      <c r="BG111" s="66">
        <f t="shared" si="165"/>
        <v>15450</v>
      </c>
      <c r="BH111" s="66">
        <f t="shared" si="165"/>
        <v>15450</v>
      </c>
      <c r="BI111" s="66">
        <f t="shared" si="165"/>
        <v>15450</v>
      </c>
      <c r="BJ111" s="66">
        <f t="shared" si="165"/>
        <v>15450</v>
      </c>
      <c r="BK111" s="66">
        <f t="shared" si="165"/>
        <v>15450</v>
      </c>
      <c r="BL111" s="66">
        <f t="shared" si="165"/>
        <v>15450</v>
      </c>
      <c r="BM111" s="66">
        <f t="shared" si="165"/>
        <v>15450</v>
      </c>
      <c r="BN111" s="66">
        <f t="shared" si="165"/>
        <v>15450</v>
      </c>
      <c r="BO111" s="66"/>
      <c r="BP111" s="66">
        <f t="shared" si="144"/>
        <v>144000</v>
      </c>
      <c r="BQ111" s="66">
        <f t="shared" si="145"/>
        <v>145200</v>
      </c>
      <c r="BR111" s="66">
        <f t="shared" si="146"/>
        <v>165600</v>
      </c>
      <c r="BS111" s="66">
        <f t="shared" si="147"/>
        <v>175680</v>
      </c>
      <c r="BT111" s="66">
        <f t="shared" si="148"/>
        <v>185400</v>
      </c>
    </row>
    <row r="112" spans="1:72" ht="15.75" customHeight="1" outlineLevel="1" x14ac:dyDescent="0.35">
      <c r="A112" s="20"/>
      <c r="B112" s="20"/>
      <c r="C112" s="20" t="s">
        <v>118</v>
      </c>
      <c r="D112" s="20"/>
      <c r="E112" s="20"/>
      <c r="F112" s="90">
        <f>'3.Premissas de Despesas'!B9</f>
        <v>37500</v>
      </c>
      <c r="G112" s="66">
        <f t="shared" si="161"/>
        <v>37500</v>
      </c>
      <c r="H112" s="66">
        <f t="shared" si="161"/>
        <v>37500</v>
      </c>
      <c r="I112" s="66">
        <f t="shared" si="161"/>
        <v>37500</v>
      </c>
      <c r="J112" s="66">
        <f t="shared" si="161"/>
        <v>37500</v>
      </c>
      <c r="K112" s="66">
        <f t="shared" si="161"/>
        <v>37500</v>
      </c>
      <c r="L112" s="66">
        <f t="shared" si="161"/>
        <v>37500</v>
      </c>
      <c r="M112" s="66">
        <f t="shared" si="161"/>
        <v>37500</v>
      </c>
      <c r="N112" s="66">
        <f t="shared" si="161"/>
        <v>37500</v>
      </c>
      <c r="O112" s="66">
        <f t="shared" si="161"/>
        <v>37500</v>
      </c>
      <c r="P112" s="66">
        <f t="shared" si="161"/>
        <v>37500</v>
      </c>
      <c r="Q112" s="66">
        <f t="shared" si="161"/>
        <v>37500</v>
      </c>
      <c r="R112" s="66">
        <f t="shared" si="161"/>
        <v>37500</v>
      </c>
      <c r="S112" s="66">
        <f>$F112+(F112*'3.Premissas de Despesas'!$B$23)</f>
        <v>41250</v>
      </c>
      <c r="T112" s="66">
        <f t="shared" ref="T112:AD112" si="166">$S$112</f>
        <v>41250</v>
      </c>
      <c r="U112" s="66">
        <f t="shared" si="166"/>
        <v>41250</v>
      </c>
      <c r="V112" s="66">
        <f t="shared" si="166"/>
        <v>41250</v>
      </c>
      <c r="W112" s="66">
        <f t="shared" si="166"/>
        <v>41250</v>
      </c>
      <c r="X112" s="66">
        <f t="shared" si="166"/>
        <v>41250</v>
      </c>
      <c r="Y112" s="66">
        <f t="shared" si="166"/>
        <v>41250</v>
      </c>
      <c r="Z112" s="66">
        <f t="shared" si="166"/>
        <v>41250</v>
      </c>
      <c r="AA112" s="66">
        <f t="shared" si="166"/>
        <v>41250</v>
      </c>
      <c r="AB112" s="66">
        <f t="shared" si="166"/>
        <v>41250</v>
      </c>
      <c r="AC112" s="66">
        <f t="shared" si="166"/>
        <v>41250</v>
      </c>
      <c r="AD112" s="66">
        <f t="shared" si="166"/>
        <v>41250</v>
      </c>
      <c r="AE112" s="66">
        <f>$F112+(R112*'3.Premissas de Despesas'!$B$24)</f>
        <v>43125</v>
      </c>
      <c r="AF112" s="66">
        <f t="shared" ref="AF112:AP112" si="167">$AE$112</f>
        <v>43125</v>
      </c>
      <c r="AG112" s="66">
        <f t="shared" si="167"/>
        <v>43125</v>
      </c>
      <c r="AH112" s="66">
        <f t="shared" si="167"/>
        <v>43125</v>
      </c>
      <c r="AI112" s="66">
        <f t="shared" si="167"/>
        <v>43125</v>
      </c>
      <c r="AJ112" s="66">
        <f t="shared" si="167"/>
        <v>43125</v>
      </c>
      <c r="AK112" s="66">
        <f t="shared" si="167"/>
        <v>43125</v>
      </c>
      <c r="AL112" s="66">
        <f t="shared" si="167"/>
        <v>43125</v>
      </c>
      <c r="AM112" s="66">
        <f t="shared" si="167"/>
        <v>43125</v>
      </c>
      <c r="AN112" s="66">
        <f t="shared" si="167"/>
        <v>43125</v>
      </c>
      <c r="AO112" s="66">
        <f t="shared" si="167"/>
        <v>43125</v>
      </c>
      <c r="AP112" s="66">
        <f t="shared" si="167"/>
        <v>43125</v>
      </c>
      <c r="AQ112" s="66">
        <f>$F112+(AD112*'3.Premissas de Despesas'!$B$25)</f>
        <v>45750</v>
      </c>
      <c r="AR112" s="66">
        <f t="shared" ref="AR112:BB112" si="168">$AQ$112</f>
        <v>45750</v>
      </c>
      <c r="AS112" s="66">
        <f t="shared" si="168"/>
        <v>45750</v>
      </c>
      <c r="AT112" s="66">
        <f t="shared" si="168"/>
        <v>45750</v>
      </c>
      <c r="AU112" s="66">
        <f t="shared" si="168"/>
        <v>45750</v>
      </c>
      <c r="AV112" s="66">
        <f t="shared" si="168"/>
        <v>45750</v>
      </c>
      <c r="AW112" s="66">
        <f t="shared" si="168"/>
        <v>45750</v>
      </c>
      <c r="AX112" s="66">
        <f t="shared" si="168"/>
        <v>45750</v>
      </c>
      <c r="AY112" s="66">
        <f t="shared" si="168"/>
        <v>45750</v>
      </c>
      <c r="AZ112" s="66">
        <f t="shared" si="168"/>
        <v>45750</v>
      </c>
      <c r="BA112" s="66">
        <f t="shared" si="168"/>
        <v>45750</v>
      </c>
      <c r="BB112" s="66">
        <f t="shared" si="168"/>
        <v>45750</v>
      </c>
      <c r="BC112" s="66">
        <f>$F112+(AP112*'3.Premissas de Despesas'!$B$26)</f>
        <v>48281.25</v>
      </c>
      <c r="BD112" s="66">
        <f t="shared" ref="BD112:BN112" si="169">$BC$112</f>
        <v>48281.25</v>
      </c>
      <c r="BE112" s="66">
        <f t="shared" si="169"/>
        <v>48281.25</v>
      </c>
      <c r="BF112" s="66">
        <f t="shared" si="169"/>
        <v>48281.25</v>
      </c>
      <c r="BG112" s="66">
        <f t="shared" si="169"/>
        <v>48281.25</v>
      </c>
      <c r="BH112" s="66">
        <f t="shared" si="169"/>
        <v>48281.25</v>
      </c>
      <c r="BI112" s="66">
        <f t="shared" si="169"/>
        <v>48281.25</v>
      </c>
      <c r="BJ112" s="66">
        <f t="shared" si="169"/>
        <v>48281.25</v>
      </c>
      <c r="BK112" s="66">
        <f t="shared" si="169"/>
        <v>48281.25</v>
      </c>
      <c r="BL112" s="66">
        <f t="shared" si="169"/>
        <v>48281.25</v>
      </c>
      <c r="BM112" s="66">
        <f t="shared" si="169"/>
        <v>48281.25</v>
      </c>
      <c r="BN112" s="66">
        <f t="shared" si="169"/>
        <v>48281.25</v>
      </c>
      <c r="BO112" s="66"/>
      <c r="BP112" s="66">
        <f t="shared" si="144"/>
        <v>450000</v>
      </c>
      <c r="BQ112" s="66">
        <f t="shared" si="145"/>
        <v>453750</v>
      </c>
      <c r="BR112" s="66">
        <f t="shared" si="146"/>
        <v>517500</v>
      </c>
      <c r="BS112" s="66">
        <f t="shared" si="147"/>
        <v>549000</v>
      </c>
      <c r="BT112" s="66">
        <f t="shared" si="148"/>
        <v>579375</v>
      </c>
    </row>
    <row r="113" spans="1:72" ht="15.75" customHeight="1" outlineLevel="1" x14ac:dyDescent="0.35">
      <c r="A113" s="20"/>
      <c r="B113" s="20"/>
      <c r="C113" s="20"/>
      <c r="D113" s="20"/>
      <c r="E113" s="20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>
        <f>$F113+(F113*'3.Premissas de Despesas'!$B$23)</f>
        <v>0</v>
      </c>
      <c r="T113" s="66">
        <f t="shared" ref="T113:AD113" si="170">$S$113</f>
        <v>0</v>
      </c>
      <c r="U113" s="66">
        <f t="shared" si="170"/>
        <v>0</v>
      </c>
      <c r="V113" s="66">
        <f t="shared" si="170"/>
        <v>0</v>
      </c>
      <c r="W113" s="66">
        <f t="shared" si="170"/>
        <v>0</v>
      </c>
      <c r="X113" s="66">
        <f t="shared" si="170"/>
        <v>0</v>
      </c>
      <c r="Y113" s="66">
        <f t="shared" si="170"/>
        <v>0</v>
      </c>
      <c r="Z113" s="66">
        <f t="shared" si="170"/>
        <v>0</v>
      </c>
      <c r="AA113" s="66">
        <f t="shared" si="170"/>
        <v>0</v>
      </c>
      <c r="AB113" s="66">
        <f t="shared" si="170"/>
        <v>0</v>
      </c>
      <c r="AC113" s="66">
        <f t="shared" si="170"/>
        <v>0</v>
      </c>
      <c r="AD113" s="66">
        <f t="shared" si="170"/>
        <v>0</v>
      </c>
      <c r="AE113" s="66">
        <f>$F113+(R113*'3.Premissas de Despesas'!$B$24)</f>
        <v>0</v>
      </c>
      <c r="AF113" s="66">
        <f t="shared" ref="AF113:AP113" si="171">$AE$113</f>
        <v>0</v>
      </c>
      <c r="AG113" s="66">
        <f t="shared" si="171"/>
        <v>0</v>
      </c>
      <c r="AH113" s="66">
        <f t="shared" si="171"/>
        <v>0</v>
      </c>
      <c r="AI113" s="66">
        <f t="shared" si="171"/>
        <v>0</v>
      </c>
      <c r="AJ113" s="66">
        <f t="shared" si="171"/>
        <v>0</v>
      </c>
      <c r="AK113" s="66">
        <f t="shared" si="171"/>
        <v>0</v>
      </c>
      <c r="AL113" s="66">
        <f t="shared" si="171"/>
        <v>0</v>
      </c>
      <c r="AM113" s="66">
        <f t="shared" si="171"/>
        <v>0</v>
      </c>
      <c r="AN113" s="66">
        <f t="shared" si="171"/>
        <v>0</v>
      </c>
      <c r="AO113" s="66">
        <f t="shared" si="171"/>
        <v>0</v>
      </c>
      <c r="AP113" s="66">
        <f t="shared" si="171"/>
        <v>0</v>
      </c>
      <c r="AQ113" s="66">
        <f>$F113+(AD113*'3.Premissas de Despesas'!$B$25)</f>
        <v>0</v>
      </c>
      <c r="AR113" s="66">
        <f t="shared" ref="AR113:BB113" si="172">$AQ$113</f>
        <v>0</v>
      </c>
      <c r="AS113" s="66">
        <f t="shared" si="172"/>
        <v>0</v>
      </c>
      <c r="AT113" s="66">
        <f t="shared" si="172"/>
        <v>0</v>
      </c>
      <c r="AU113" s="66">
        <f t="shared" si="172"/>
        <v>0</v>
      </c>
      <c r="AV113" s="66">
        <f t="shared" si="172"/>
        <v>0</v>
      </c>
      <c r="AW113" s="66">
        <f t="shared" si="172"/>
        <v>0</v>
      </c>
      <c r="AX113" s="66">
        <f t="shared" si="172"/>
        <v>0</v>
      </c>
      <c r="AY113" s="66">
        <f t="shared" si="172"/>
        <v>0</v>
      </c>
      <c r="AZ113" s="66">
        <f t="shared" si="172"/>
        <v>0</v>
      </c>
      <c r="BA113" s="66">
        <f t="shared" si="172"/>
        <v>0</v>
      </c>
      <c r="BB113" s="66">
        <f t="shared" si="172"/>
        <v>0</v>
      </c>
      <c r="BC113" s="66">
        <f>$F113+(AP113*'3.Premissas de Despesas'!$B$26)</f>
        <v>0</v>
      </c>
      <c r="BD113" s="66">
        <f t="shared" ref="BD113:BN113" si="173">$BC$113</f>
        <v>0</v>
      </c>
      <c r="BE113" s="66">
        <f t="shared" si="173"/>
        <v>0</v>
      </c>
      <c r="BF113" s="66">
        <f t="shared" si="173"/>
        <v>0</v>
      </c>
      <c r="BG113" s="66">
        <f t="shared" si="173"/>
        <v>0</v>
      </c>
      <c r="BH113" s="66">
        <f t="shared" si="173"/>
        <v>0</v>
      </c>
      <c r="BI113" s="66">
        <f t="shared" si="173"/>
        <v>0</v>
      </c>
      <c r="BJ113" s="66">
        <f t="shared" si="173"/>
        <v>0</v>
      </c>
      <c r="BK113" s="66">
        <f t="shared" si="173"/>
        <v>0</v>
      </c>
      <c r="BL113" s="66">
        <f t="shared" si="173"/>
        <v>0</v>
      </c>
      <c r="BM113" s="66">
        <f t="shared" si="173"/>
        <v>0</v>
      </c>
      <c r="BN113" s="66">
        <f t="shared" si="173"/>
        <v>0</v>
      </c>
      <c r="BO113" s="66"/>
      <c r="BP113" s="66">
        <f t="shared" si="144"/>
        <v>0</v>
      </c>
      <c r="BQ113" s="66">
        <f t="shared" si="145"/>
        <v>0</v>
      </c>
      <c r="BR113" s="66">
        <f t="shared" si="146"/>
        <v>0</v>
      </c>
      <c r="BS113" s="66">
        <f t="shared" si="147"/>
        <v>0</v>
      </c>
      <c r="BT113" s="66">
        <f t="shared" si="148"/>
        <v>0</v>
      </c>
    </row>
    <row r="114" spans="1:72" ht="15.75" customHeight="1" outlineLevel="1" x14ac:dyDescent="0.35">
      <c r="A114" s="20"/>
      <c r="B114" s="27" t="s">
        <v>119</v>
      </c>
      <c r="C114" s="20"/>
      <c r="D114" s="20"/>
      <c r="E114" s="20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>
        <f>$F114+(F114*'3.Premissas de Despesas'!$B$23)</f>
        <v>0</v>
      </c>
      <c r="T114" s="66">
        <f t="shared" ref="T114:AD114" si="174">$S$114</f>
        <v>0</v>
      </c>
      <c r="U114" s="66">
        <f t="shared" si="174"/>
        <v>0</v>
      </c>
      <c r="V114" s="66">
        <f t="shared" si="174"/>
        <v>0</v>
      </c>
      <c r="W114" s="66">
        <f t="shared" si="174"/>
        <v>0</v>
      </c>
      <c r="X114" s="66">
        <f t="shared" si="174"/>
        <v>0</v>
      </c>
      <c r="Y114" s="66">
        <f t="shared" si="174"/>
        <v>0</v>
      </c>
      <c r="Z114" s="66">
        <f t="shared" si="174"/>
        <v>0</v>
      </c>
      <c r="AA114" s="66">
        <f t="shared" si="174"/>
        <v>0</v>
      </c>
      <c r="AB114" s="66">
        <f t="shared" si="174"/>
        <v>0</v>
      </c>
      <c r="AC114" s="66">
        <f t="shared" si="174"/>
        <v>0</v>
      </c>
      <c r="AD114" s="66">
        <f t="shared" si="174"/>
        <v>0</v>
      </c>
      <c r="AE114" s="66">
        <f>$F114+(R114*'3.Premissas de Despesas'!$B$24)</f>
        <v>0</v>
      </c>
      <c r="AF114" s="66">
        <f t="shared" ref="AF114:AP114" si="175">$AE$114</f>
        <v>0</v>
      </c>
      <c r="AG114" s="66">
        <f t="shared" si="175"/>
        <v>0</v>
      </c>
      <c r="AH114" s="66">
        <f t="shared" si="175"/>
        <v>0</v>
      </c>
      <c r="AI114" s="66">
        <f t="shared" si="175"/>
        <v>0</v>
      </c>
      <c r="AJ114" s="66">
        <f t="shared" si="175"/>
        <v>0</v>
      </c>
      <c r="AK114" s="66">
        <f t="shared" si="175"/>
        <v>0</v>
      </c>
      <c r="AL114" s="66">
        <f t="shared" si="175"/>
        <v>0</v>
      </c>
      <c r="AM114" s="66">
        <f t="shared" si="175"/>
        <v>0</v>
      </c>
      <c r="AN114" s="66">
        <f t="shared" si="175"/>
        <v>0</v>
      </c>
      <c r="AO114" s="66">
        <f t="shared" si="175"/>
        <v>0</v>
      </c>
      <c r="AP114" s="66">
        <f t="shared" si="175"/>
        <v>0</v>
      </c>
      <c r="AQ114" s="66">
        <f>$F114+(AD114*'3.Premissas de Despesas'!$B$25)</f>
        <v>0</v>
      </c>
      <c r="AR114" s="66">
        <f t="shared" ref="AR114:BB114" si="176">$AQ$114</f>
        <v>0</v>
      </c>
      <c r="AS114" s="66">
        <f t="shared" si="176"/>
        <v>0</v>
      </c>
      <c r="AT114" s="66">
        <f t="shared" si="176"/>
        <v>0</v>
      </c>
      <c r="AU114" s="66">
        <f t="shared" si="176"/>
        <v>0</v>
      </c>
      <c r="AV114" s="66">
        <f t="shared" si="176"/>
        <v>0</v>
      </c>
      <c r="AW114" s="66">
        <f t="shared" si="176"/>
        <v>0</v>
      </c>
      <c r="AX114" s="66">
        <f t="shared" si="176"/>
        <v>0</v>
      </c>
      <c r="AY114" s="66">
        <f t="shared" si="176"/>
        <v>0</v>
      </c>
      <c r="AZ114" s="66">
        <f t="shared" si="176"/>
        <v>0</v>
      </c>
      <c r="BA114" s="66">
        <f t="shared" si="176"/>
        <v>0</v>
      </c>
      <c r="BB114" s="66">
        <f t="shared" si="176"/>
        <v>0</v>
      </c>
      <c r="BC114" s="66">
        <f>$F114+(AP114*'3.Premissas de Despesas'!$B$26)</f>
        <v>0</v>
      </c>
      <c r="BD114" s="66">
        <f t="shared" ref="BD114:BN114" si="177">$BC$114</f>
        <v>0</v>
      </c>
      <c r="BE114" s="66">
        <f t="shared" si="177"/>
        <v>0</v>
      </c>
      <c r="BF114" s="66">
        <f t="shared" si="177"/>
        <v>0</v>
      </c>
      <c r="BG114" s="66">
        <f t="shared" si="177"/>
        <v>0</v>
      </c>
      <c r="BH114" s="66">
        <f t="shared" si="177"/>
        <v>0</v>
      </c>
      <c r="BI114" s="66">
        <f t="shared" si="177"/>
        <v>0</v>
      </c>
      <c r="BJ114" s="66">
        <f t="shared" si="177"/>
        <v>0</v>
      </c>
      <c r="BK114" s="66">
        <f t="shared" si="177"/>
        <v>0</v>
      </c>
      <c r="BL114" s="66">
        <f t="shared" si="177"/>
        <v>0</v>
      </c>
      <c r="BM114" s="66">
        <f t="shared" si="177"/>
        <v>0</v>
      </c>
      <c r="BN114" s="66">
        <f t="shared" si="177"/>
        <v>0</v>
      </c>
      <c r="BO114" s="66"/>
      <c r="BP114" s="66">
        <f t="shared" si="144"/>
        <v>0</v>
      </c>
      <c r="BQ114" s="66">
        <f t="shared" si="145"/>
        <v>0</v>
      </c>
      <c r="BR114" s="66">
        <f t="shared" si="146"/>
        <v>0</v>
      </c>
      <c r="BS114" s="66">
        <f t="shared" si="147"/>
        <v>0</v>
      </c>
      <c r="BT114" s="66">
        <f t="shared" si="148"/>
        <v>0</v>
      </c>
    </row>
    <row r="115" spans="1:72" ht="15.75" customHeight="1" outlineLevel="1" x14ac:dyDescent="0.35">
      <c r="A115" s="20"/>
      <c r="B115" s="20"/>
      <c r="C115" s="20" t="s">
        <v>170</v>
      </c>
      <c r="D115" s="20"/>
      <c r="E115" s="20"/>
      <c r="F115" s="90">
        <f>'3.Premissas de Despesas'!B12</f>
        <v>3000</v>
      </c>
      <c r="G115" s="66">
        <f t="shared" ref="G115:R118" si="178">$F115</f>
        <v>3000</v>
      </c>
      <c r="H115" s="66">
        <f t="shared" si="178"/>
        <v>3000</v>
      </c>
      <c r="I115" s="66">
        <f t="shared" si="178"/>
        <v>3000</v>
      </c>
      <c r="J115" s="66">
        <f t="shared" si="178"/>
        <v>3000</v>
      </c>
      <c r="K115" s="66">
        <f t="shared" si="178"/>
        <v>3000</v>
      </c>
      <c r="L115" s="66">
        <f t="shared" si="178"/>
        <v>3000</v>
      </c>
      <c r="M115" s="66">
        <f t="shared" si="178"/>
        <v>3000</v>
      </c>
      <c r="N115" s="66">
        <f t="shared" si="178"/>
        <v>3000</v>
      </c>
      <c r="O115" s="66">
        <f t="shared" si="178"/>
        <v>3000</v>
      </c>
      <c r="P115" s="66">
        <f t="shared" si="178"/>
        <v>3000</v>
      </c>
      <c r="Q115" s="66">
        <f t="shared" si="178"/>
        <v>3000</v>
      </c>
      <c r="R115" s="66">
        <f t="shared" si="178"/>
        <v>3000</v>
      </c>
      <c r="S115" s="66">
        <f>$F115+(F115*'3.Premissas de Despesas'!$B$23)</f>
        <v>3300</v>
      </c>
      <c r="T115" s="66">
        <f t="shared" ref="T115:AD115" si="179">$S$115</f>
        <v>3300</v>
      </c>
      <c r="U115" s="66">
        <f t="shared" si="179"/>
        <v>3300</v>
      </c>
      <c r="V115" s="66">
        <f t="shared" si="179"/>
        <v>3300</v>
      </c>
      <c r="W115" s="66">
        <f t="shared" si="179"/>
        <v>3300</v>
      </c>
      <c r="X115" s="66">
        <f t="shared" si="179"/>
        <v>3300</v>
      </c>
      <c r="Y115" s="66">
        <f t="shared" si="179"/>
        <v>3300</v>
      </c>
      <c r="Z115" s="66">
        <f t="shared" si="179"/>
        <v>3300</v>
      </c>
      <c r="AA115" s="66">
        <f t="shared" si="179"/>
        <v>3300</v>
      </c>
      <c r="AB115" s="66">
        <f t="shared" si="179"/>
        <v>3300</v>
      </c>
      <c r="AC115" s="66">
        <f t="shared" si="179"/>
        <v>3300</v>
      </c>
      <c r="AD115" s="66">
        <f t="shared" si="179"/>
        <v>3300</v>
      </c>
      <c r="AE115" s="66">
        <f>$F115+(R115*'3.Premissas de Despesas'!$B$24)</f>
        <v>3450</v>
      </c>
      <c r="AF115" s="66">
        <f t="shared" ref="AF115:AP115" si="180">$AE$115</f>
        <v>3450</v>
      </c>
      <c r="AG115" s="66">
        <f t="shared" si="180"/>
        <v>3450</v>
      </c>
      <c r="AH115" s="66">
        <f t="shared" si="180"/>
        <v>3450</v>
      </c>
      <c r="AI115" s="66">
        <f t="shared" si="180"/>
        <v>3450</v>
      </c>
      <c r="AJ115" s="66">
        <f t="shared" si="180"/>
        <v>3450</v>
      </c>
      <c r="AK115" s="66">
        <f t="shared" si="180"/>
        <v>3450</v>
      </c>
      <c r="AL115" s="66">
        <f t="shared" si="180"/>
        <v>3450</v>
      </c>
      <c r="AM115" s="66">
        <f t="shared" si="180"/>
        <v>3450</v>
      </c>
      <c r="AN115" s="66">
        <f t="shared" si="180"/>
        <v>3450</v>
      </c>
      <c r="AO115" s="66">
        <f t="shared" si="180"/>
        <v>3450</v>
      </c>
      <c r="AP115" s="66">
        <f t="shared" si="180"/>
        <v>3450</v>
      </c>
      <c r="AQ115" s="66">
        <f>$F115+(AD115*'3.Premissas de Despesas'!$B$25)</f>
        <v>3660</v>
      </c>
      <c r="AR115" s="66">
        <f t="shared" ref="AR115:BB115" si="181">$AQ$115</f>
        <v>3660</v>
      </c>
      <c r="AS115" s="66">
        <f t="shared" si="181"/>
        <v>3660</v>
      </c>
      <c r="AT115" s="66">
        <f t="shared" si="181"/>
        <v>3660</v>
      </c>
      <c r="AU115" s="66">
        <f t="shared" si="181"/>
        <v>3660</v>
      </c>
      <c r="AV115" s="66">
        <f t="shared" si="181"/>
        <v>3660</v>
      </c>
      <c r="AW115" s="66">
        <f t="shared" si="181"/>
        <v>3660</v>
      </c>
      <c r="AX115" s="66">
        <f t="shared" si="181"/>
        <v>3660</v>
      </c>
      <c r="AY115" s="66">
        <f t="shared" si="181"/>
        <v>3660</v>
      </c>
      <c r="AZ115" s="66">
        <f t="shared" si="181"/>
        <v>3660</v>
      </c>
      <c r="BA115" s="66">
        <f t="shared" si="181"/>
        <v>3660</v>
      </c>
      <c r="BB115" s="66">
        <f t="shared" si="181"/>
        <v>3660</v>
      </c>
      <c r="BC115" s="66">
        <f>$F115+(AP115*'3.Premissas de Despesas'!$B$26)</f>
        <v>3862.5</v>
      </c>
      <c r="BD115" s="66">
        <f t="shared" ref="BD115:BN115" si="182">$BC$115</f>
        <v>3862.5</v>
      </c>
      <c r="BE115" s="66">
        <f t="shared" si="182"/>
        <v>3862.5</v>
      </c>
      <c r="BF115" s="66">
        <f t="shared" si="182"/>
        <v>3862.5</v>
      </c>
      <c r="BG115" s="66">
        <f t="shared" si="182"/>
        <v>3862.5</v>
      </c>
      <c r="BH115" s="66">
        <f t="shared" si="182"/>
        <v>3862.5</v>
      </c>
      <c r="BI115" s="66">
        <f t="shared" si="182"/>
        <v>3862.5</v>
      </c>
      <c r="BJ115" s="66">
        <f t="shared" si="182"/>
        <v>3862.5</v>
      </c>
      <c r="BK115" s="66">
        <f t="shared" si="182"/>
        <v>3862.5</v>
      </c>
      <c r="BL115" s="66">
        <f t="shared" si="182"/>
        <v>3862.5</v>
      </c>
      <c r="BM115" s="66">
        <f t="shared" si="182"/>
        <v>3862.5</v>
      </c>
      <c r="BN115" s="66">
        <f t="shared" si="182"/>
        <v>3862.5</v>
      </c>
      <c r="BO115" s="66"/>
      <c r="BP115" s="66">
        <f t="shared" si="144"/>
        <v>36000</v>
      </c>
      <c r="BQ115" s="66">
        <f t="shared" si="145"/>
        <v>36300</v>
      </c>
      <c r="BR115" s="66">
        <f t="shared" si="146"/>
        <v>41400</v>
      </c>
      <c r="BS115" s="66">
        <f t="shared" si="147"/>
        <v>43920</v>
      </c>
      <c r="BT115" s="66">
        <f t="shared" si="148"/>
        <v>46350</v>
      </c>
    </row>
    <row r="116" spans="1:72" ht="15.75" customHeight="1" outlineLevel="1" x14ac:dyDescent="0.35">
      <c r="A116" s="20"/>
      <c r="B116" s="20"/>
      <c r="C116" s="20" t="s">
        <v>121</v>
      </c>
      <c r="D116" s="20"/>
      <c r="E116" s="20"/>
      <c r="F116" s="90">
        <f>'3.Premissas de Despesas'!B13</f>
        <v>2000</v>
      </c>
      <c r="G116" s="66">
        <f t="shared" si="178"/>
        <v>2000</v>
      </c>
      <c r="H116" s="66">
        <f t="shared" si="178"/>
        <v>2000</v>
      </c>
      <c r="I116" s="66">
        <f t="shared" si="178"/>
        <v>2000</v>
      </c>
      <c r="J116" s="66">
        <f t="shared" si="178"/>
        <v>2000</v>
      </c>
      <c r="K116" s="66">
        <f t="shared" si="178"/>
        <v>2000</v>
      </c>
      <c r="L116" s="66">
        <f t="shared" si="178"/>
        <v>2000</v>
      </c>
      <c r="M116" s="66">
        <f t="shared" si="178"/>
        <v>2000</v>
      </c>
      <c r="N116" s="66">
        <f t="shared" si="178"/>
        <v>2000</v>
      </c>
      <c r="O116" s="66">
        <f t="shared" si="178"/>
        <v>2000</v>
      </c>
      <c r="P116" s="66">
        <f t="shared" si="178"/>
        <v>2000</v>
      </c>
      <c r="Q116" s="66">
        <f t="shared" si="178"/>
        <v>2000</v>
      </c>
      <c r="R116" s="66">
        <f t="shared" si="178"/>
        <v>2000</v>
      </c>
      <c r="S116" s="66">
        <f>$F116+(F116*'3.Premissas de Despesas'!$B$23)</f>
        <v>2200</v>
      </c>
      <c r="T116" s="66">
        <f t="shared" ref="T116:AD116" si="183">$S$116</f>
        <v>2200</v>
      </c>
      <c r="U116" s="66">
        <f t="shared" si="183"/>
        <v>2200</v>
      </c>
      <c r="V116" s="66">
        <f t="shared" si="183"/>
        <v>2200</v>
      </c>
      <c r="W116" s="66">
        <f t="shared" si="183"/>
        <v>2200</v>
      </c>
      <c r="X116" s="66">
        <f t="shared" si="183"/>
        <v>2200</v>
      </c>
      <c r="Y116" s="66">
        <f t="shared" si="183"/>
        <v>2200</v>
      </c>
      <c r="Z116" s="66">
        <f t="shared" si="183"/>
        <v>2200</v>
      </c>
      <c r="AA116" s="66">
        <f t="shared" si="183"/>
        <v>2200</v>
      </c>
      <c r="AB116" s="66">
        <f t="shared" si="183"/>
        <v>2200</v>
      </c>
      <c r="AC116" s="66">
        <f t="shared" si="183"/>
        <v>2200</v>
      </c>
      <c r="AD116" s="66">
        <f t="shared" si="183"/>
        <v>2200</v>
      </c>
      <c r="AE116" s="66">
        <f>$F116+(R116*'3.Premissas de Despesas'!$B$24)</f>
        <v>2300</v>
      </c>
      <c r="AF116" s="66">
        <f t="shared" ref="AF116:AP116" si="184">$AE$116</f>
        <v>2300</v>
      </c>
      <c r="AG116" s="66">
        <f t="shared" si="184"/>
        <v>2300</v>
      </c>
      <c r="AH116" s="66">
        <f t="shared" si="184"/>
        <v>2300</v>
      </c>
      <c r="AI116" s="66">
        <f t="shared" si="184"/>
        <v>2300</v>
      </c>
      <c r="AJ116" s="66">
        <f t="shared" si="184"/>
        <v>2300</v>
      </c>
      <c r="AK116" s="66">
        <f t="shared" si="184"/>
        <v>2300</v>
      </c>
      <c r="AL116" s="66">
        <f t="shared" si="184"/>
        <v>2300</v>
      </c>
      <c r="AM116" s="66">
        <f t="shared" si="184"/>
        <v>2300</v>
      </c>
      <c r="AN116" s="66">
        <f t="shared" si="184"/>
        <v>2300</v>
      </c>
      <c r="AO116" s="66">
        <f t="shared" si="184"/>
        <v>2300</v>
      </c>
      <c r="AP116" s="66">
        <f t="shared" si="184"/>
        <v>2300</v>
      </c>
      <c r="AQ116" s="66">
        <f>$F116+(AD116*'3.Premissas de Despesas'!$B$25)</f>
        <v>2440</v>
      </c>
      <c r="AR116" s="66">
        <f t="shared" ref="AR116:BB116" si="185">$AQ$116</f>
        <v>2440</v>
      </c>
      <c r="AS116" s="66">
        <f t="shared" si="185"/>
        <v>2440</v>
      </c>
      <c r="AT116" s="66">
        <f t="shared" si="185"/>
        <v>2440</v>
      </c>
      <c r="AU116" s="66">
        <f t="shared" si="185"/>
        <v>2440</v>
      </c>
      <c r="AV116" s="66">
        <f t="shared" si="185"/>
        <v>2440</v>
      </c>
      <c r="AW116" s="66">
        <f t="shared" si="185"/>
        <v>2440</v>
      </c>
      <c r="AX116" s="66">
        <f t="shared" si="185"/>
        <v>2440</v>
      </c>
      <c r="AY116" s="66">
        <f t="shared" si="185"/>
        <v>2440</v>
      </c>
      <c r="AZ116" s="66">
        <f t="shared" si="185"/>
        <v>2440</v>
      </c>
      <c r="BA116" s="66">
        <f t="shared" si="185"/>
        <v>2440</v>
      </c>
      <c r="BB116" s="66">
        <f t="shared" si="185"/>
        <v>2440</v>
      </c>
      <c r="BC116" s="66">
        <f>$F116+(AP116*'3.Premissas de Despesas'!$B$26)</f>
        <v>2575</v>
      </c>
      <c r="BD116" s="66">
        <f t="shared" ref="BD116:BN116" si="186">$BC$116</f>
        <v>2575</v>
      </c>
      <c r="BE116" s="66">
        <f t="shared" si="186"/>
        <v>2575</v>
      </c>
      <c r="BF116" s="66">
        <f t="shared" si="186"/>
        <v>2575</v>
      </c>
      <c r="BG116" s="66">
        <f t="shared" si="186"/>
        <v>2575</v>
      </c>
      <c r="BH116" s="66">
        <f t="shared" si="186"/>
        <v>2575</v>
      </c>
      <c r="BI116" s="66">
        <f t="shared" si="186"/>
        <v>2575</v>
      </c>
      <c r="BJ116" s="66">
        <f t="shared" si="186"/>
        <v>2575</v>
      </c>
      <c r="BK116" s="66">
        <f t="shared" si="186"/>
        <v>2575</v>
      </c>
      <c r="BL116" s="66">
        <f t="shared" si="186"/>
        <v>2575</v>
      </c>
      <c r="BM116" s="66">
        <f t="shared" si="186"/>
        <v>2575</v>
      </c>
      <c r="BN116" s="66">
        <f t="shared" si="186"/>
        <v>2575</v>
      </c>
      <c r="BO116" s="66"/>
      <c r="BP116" s="66">
        <f t="shared" si="144"/>
        <v>24000</v>
      </c>
      <c r="BQ116" s="66">
        <f t="shared" si="145"/>
        <v>24200</v>
      </c>
      <c r="BR116" s="66">
        <f t="shared" si="146"/>
        <v>27600</v>
      </c>
      <c r="BS116" s="66">
        <f t="shared" si="147"/>
        <v>29280</v>
      </c>
      <c r="BT116" s="66">
        <f t="shared" si="148"/>
        <v>30900</v>
      </c>
    </row>
    <row r="117" spans="1:72" ht="15.75" customHeight="1" outlineLevel="1" x14ac:dyDescent="0.35">
      <c r="A117" s="20"/>
      <c r="B117" s="20"/>
      <c r="C117" s="20" t="s">
        <v>171</v>
      </c>
      <c r="D117" s="20"/>
      <c r="E117" s="20"/>
      <c r="F117" s="90">
        <f>'3.Premissas de Despesas'!B14</f>
        <v>4000</v>
      </c>
      <c r="G117" s="66">
        <f t="shared" si="178"/>
        <v>4000</v>
      </c>
      <c r="H117" s="66">
        <f t="shared" si="178"/>
        <v>4000</v>
      </c>
      <c r="I117" s="66">
        <f t="shared" si="178"/>
        <v>4000</v>
      </c>
      <c r="J117" s="66">
        <f t="shared" si="178"/>
        <v>4000</v>
      </c>
      <c r="K117" s="66">
        <f t="shared" si="178"/>
        <v>4000</v>
      </c>
      <c r="L117" s="66">
        <f t="shared" si="178"/>
        <v>4000</v>
      </c>
      <c r="M117" s="66">
        <f t="shared" si="178"/>
        <v>4000</v>
      </c>
      <c r="N117" s="66">
        <f t="shared" si="178"/>
        <v>4000</v>
      </c>
      <c r="O117" s="66">
        <f t="shared" si="178"/>
        <v>4000</v>
      </c>
      <c r="P117" s="66">
        <f t="shared" si="178"/>
        <v>4000</v>
      </c>
      <c r="Q117" s="66">
        <f t="shared" si="178"/>
        <v>4000</v>
      </c>
      <c r="R117" s="66">
        <f t="shared" si="178"/>
        <v>4000</v>
      </c>
      <c r="S117" s="66">
        <f>$F117+(F117*'3.Premissas de Despesas'!$B$23)</f>
        <v>4400</v>
      </c>
      <c r="T117" s="66">
        <f t="shared" ref="T117:AD117" si="187">$S$117</f>
        <v>4400</v>
      </c>
      <c r="U117" s="66">
        <f t="shared" si="187"/>
        <v>4400</v>
      </c>
      <c r="V117" s="66">
        <f t="shared" si="187"/>
        <v>4400</v>
      </c>
      <c r="W117" s="66">
        <f t="shared" si="187"/>
        <v>4400</v>
      </c>
      <c r="X117" s="66">
        <f t="shared" si="187"/>
        <v>4400</v>
      </c>
      <c r="Y117" s="66">
        <f t="shared" si="187"/>
        <v>4400</v>
      </c>
      <c r="Z117" s="66">
        <f t="shared" si="187"/>
        <v>4400</v>
      </c>
      <c r="AA117" s="66">
        <f t="shared" si="187"/>
        <v>4400</v>
      </c>
      <c r="AB117" s="66">
        <f t="shared" si="187"/>
        <v>4400</v>
      </c>
      <c r="AC117" s="66">
        <f t="shared" si="187"/>
        <v>4400</v>
      </c>
      <c r="AD117" s="66">
        <f t="shared" si="187"/>
        <v>4400</v>
      </c>
      <c r="AE117" s="66">
        <f>$F117+(R117*'3.Premissas de Despesas'!$B$24)</f>
        <v>4600</v>
      </c>
      <c r="AF117" s="66">
        <f t="shared" ref="AF117:AP117" si="188">$AE$117</f>
        <v>4600</v>
      </c>
      <c r="AG117" s="66">
        <f t="shared" si="188"/>
        <v>4600</v>
      </c>
      <c r="AH117" s="66">
        <f t="shared" si="188"/>
        <v>4600</v>
      </c>
      <c r="AI117" s="66">
        <f t="shared" si="188"/>
        <v>4600</v>
      </c>
      <c r="AJ117" s="66">
        <f t="shared" si="188"/>
        <v>4600</v>
      </c>
      <c r="AK117" s="66">
        <f t="shared" si="188"/>
        <v>4600</v>
      </c>
      <c r="AL117" s="66">
        <f t="shared" si="188"/>
        <v>4600</v>
      </c>
      <c r="AM117" s="66">
        <f t="shared" si="188"/>
        <v>4600</v>
      </c>
      <c r="AN117" s="66">
        <f t="shared" si="188"/>
        <v>4600</v>
      </c>
      <c r="AO117" s="66">
        <f t="shared" si="188"/>
        <v>4600</v>
      </c>
      <c r="AP117" s="66">
        <f t="shared" si="188"/>
        <v>4600</v>
      </c>
      <c r="AQ117" s="66">
        <f>$F117+(AD117*'3.Premissas de Despesas'!$B$25)</f>
        <v>4880</v>
      </c>
      <c r="AR117" s="66">
        <f t="shared" ref="AR117:BB117" si="189">$AQ$117</f>
        <v>4880</v>
      </c>
      <c r="AS117" s="66">
        <f t="shared" si="189"/>
        <v>4880</v>
      </c>
      <c r="AT117" s="66">
        <f t="shared" si="189"/>
        <v>4880</v>
      </c>
      <c r="AU117" s="66">
        <f t="shared" si="189"/>
        <v>4880</v>
      </c>
      <c r="AV117" s="66">
        <f t="shared" si="189"/>
        <v>4880</v>
      </c>
      <c r="AW117" s="66">
        <f t="shared" si="189"/>
        <v>4880</v>
      </c>
      <c r="AX117" s="66">
        <f t="shared" si="189"/>
        <v>4880</v>
      </c>
      <c r="AY117" s="66">
        <f t="shared" si="189"/>
        <v>4880</v>
      </c>
      <c r="AZ117" s="66">
        <f t="shared" si="189"/>
        <v>4880</v>
      </c>
      <c r="BA117" s="66">
        <f t="shared" si="189"/>
        <v>4880</v>
      </c>
      <c r="BB117" s="66">
        <f t="shared" si="189"/>
        <v>4880</v>
      </c>
      <c r="BC117" s="66">
        <f>$F117+(AP117*'3.Premissas de Despesas'!$B$26)</f>
        <v>5150</v>
      </c>
      <c r="BD117" s="66">
        <f t="shared" ref="BD117:BN117" si="190">$BC$117</f>
        <v>5150</v>
      </c>
      <c r="BE117" s="66">
        <f t="shared" si="190"/>
        <v>5150</v>
      </c>
      <c r="BF117" s="66">
        <f t="shared" si="190"/>
        <v>5150</v>
      </c>
      <c r="BG117" s="66">
        <f t="shared" si="190"/>
        <v>5150</v>
      </c>
      <c r="BH117" s="66">
        <f t="shared" si="190"/>
        <v>5150</v>
      </c>
      <c r="BI117" s="66">
        <f t="shared" si="190"/>
        <v>5150</v>
      </c>
      <c r="BJ117" s="66">
        <f t="shared" si="190"/>
        <v>5150</v>
      </c>
      <c r="BK117" s="66">
        <f t="shared" si="190"/>
        <v>5150</v>
      </c>
      <c r="BL117" s="66">
        <f t="shared" si="190"/>
        <v>5150</v>
      </c>
      <c r="BM117" s="66">
        <f t="shared" si="190"/>
        <v>5150</v>
      </c>
      <c r="BN117" s="66">
        <f t="shared" si="190"/>
        <v>5150</v>
      </c>
      <c r="BO117" s="66"/>
      <c r="BP117" s="66">
        <f t="shared" si="144"/>
        <v>48000</v>
      </c>
      <c r="BQ117" s="66">
        <f t="shared" si="145"/>
        <v>48400</v>
      </c>
      <c r="BR117" s="66">
        <f t="shared" si="146"/>
        <v>55200</v>
      </c>
      <c r="BS117" s="66">
        <f t="shared" si="147"/>
        <v>58560</v>
      </c>
      <c r="BT117" s="66">
        <f t="shared" si="148"/>
        <v>61800</v>
      </c>
    </row>
    <row r="118" spans="1:72" ht="15.75" customHeight="1" outlineLevel="1" x14ac:dyDescent="0.35">
      <c r="A118" s="20"/>
      <c r="B118" s="20"/>
      <c r="C118" s="20" t="s">
        <v>123</v>
      </c>
      <c r="D118" s="20"/>
      <c r="E118" s="20"/>
      <c r="F118" s="90">
        <f>'3.Premissas de Despesas'!B15</f>
        <v>20000</v>
      </c>
      <c r="G118" s="66">
        <f t="shared" si="178"/>
        <v>20000</v>
      </c>
      <c r="H118" s="66">
        <f t="shared" si="178"/>
        <v>20000</v>
      </c>
      <c r="I118" s="66">
        <f t="shared" si="178"/>
        <v>20000</v>
      </c>
      <c r="J118" s="66">
        <f t="shared" si="178"/>
        <v>20000</v>
      </c>
      <c r="K118" s="66">
        <f t="shared" si="178"/>
        <v>20000</v>
      </c>
      <c r="L118" s="66">
        <f t="shared" si="178"/>
        <v>20000</v>
      </c>
      <c r="M118" s="66">
        <f t="shared" si="178"/>
        <v>20000</v>
      </c>
      <c r="N118" s="66">
        <f t="shared" si="178"/>
        <v>20000</v>
      </c>
      <c r="O118" s="66">
        <f t="shared" si="178"/>
        <v>20000</v>
      </c>
      <c r="P118" s="66">
        <f t="shared" si="178"/>
        <v>20000</v>
      </c>
      <c r="Q118" s="66">
        <f t="shared" si="178"/>
        <v>20000</v>
      </c>
      <c r="R118" s="66">
        <f t="shared" si="178"/>
        <v>20000</v>
      </c>
      <c r="S118" s="66">
        <f>$F118+(F118*'3.Premissas de Despesas'!$B$23)</f>
        <v>22000</v>
      </c>
      <c r="T118" s="66">
        <f t="shared" ref="T118:AD118" si="191">$S$118</f>
        <v>22000</v>
      </c>
      <c r="U118" s="66">
        <f t="shared" si="191"/>
        <v>22000</v>
      </c>
      <c r="V118" s="66">
        <f t="shared" si="191"/>
        <v>22000</v>
      </c>
      <c r="W118" s="66">
        <f t="shared" si="191"/>
        <v>22000</v>
      </c>
      <c r="X118" s="66">
        <f t="shared" si="191"/>
        <v>22000</v>
      </c>
      <c r="Y118" s="66">
        <f t="shared" si="191"/>
        <v>22000</v>
      </c>
      <c r="Z118" s="66">
        <f t="shared" si="191"/>
        <v>22000</v>
      </c>
      <c r="AA118" s="66">
        <f t="shared" si="191"/>
        <v>22000</v>
      </c>
      <c r="AB118" s="66">
        <f t="shared" si="191"/>
        <v>22000</v>
      </c>
      <c r="AC118" s="66">
        <f t="shared" si="191"/>
        <v>22000</v>
      </c>
      <c r="AD118" s="66">
        <f t="shared" si="191"/>
        <v>22000</v>
      </c>
      <c r="AE118" s="66">
        <f>$F118+(R118*'3.Premissas de Despesas'!$B$24)</f>
        <v>23000</v>
      </c>
      <c r="AF118" s="66">
        <f t="shared" ref="AF118:AP118" si="192">$AE$118</f>
        <v>23000</v>
      </c>
      <c r="AG118" s="66">
        <f t="shared" si="192"/>
        <v>23000</v>
      </c>
      <c r="AH118" s="66">
        <f t="shared" si="192"/>
        <v>23000</v>
      </c>
      <c r="AI118" s="66">
        <f t="shared" si="192"/>
        <v>23000</v>
      </c>
      <c r="AJ118" s="66">
        <f t="shared" si="192"/>
        <v>23000</v>
      </c>
      <c r="AK118" s="66">
        <f t="shared" si="192"/>
        <v>23000</v>
      </c>
      <c r="AL118" s="66">
        <f t="shared" si="192"/>
        <v>23000</v>
      </c>
      <c r="AM118" s="66">
        <f t="shared" si="192"/>
        <v>23000</v>
      </c>
      <c r="AN118" s="66">
        <f t="shared" si="192"/>
        <v>23000</v>
      </c>
      <c r="AO118" s="66">
        <f t="shared" si="192"/>
        <v>23000</v>
      </c>
      <c r="AP118" s="66">
        <f t="shared" si="192"/>
        <v>23000</v>
      </c>
      <c r="AQ118" s="66">
        <f>$F118+(AD118*'3.Premissas de Despesas'!$B$25)</f>
        <v>24400</v>
      </c>
      <c r="AR118" s="66">
        <f t="shared" ref="AR118:BB118" si="193">$AQ$118</f>
        <v>24400</v>
      </c>
      <c r="AS118" s="66">
        <f t="shared" si="193"/>
        <v>24400</v>
      </c>
      <c r="AT118" s="66">
        <f t="shared" si="193"/>
        <v>24400</v>
      </c>
      <c r="AU118" s="66">
        <f t="shared" si="193"/>
        <v>24400</v>
      </c>
      <c r="AV118" s="66">
        <f t="shared" si="193"/>
        <v>24400</v>
      </c>
      <c r="AW118" s="66">
        <f t="shared" si="193"/>
        <v>24400</v>
      </c>
      <c r="AX118" s="66">
        <f t="shared" si="193"/>
        <v>24400</v>
      </c>
      <c r="AY118" s="66">
        <f t="shared" si="193"/>
        <v>24400</v>
      </c>
      <c r="AZ118" s="66">
        <f t="shared" si="193"/>
        <v>24400</v>
      </c>
      <c r="BA118" s="66">
        <f t="shared" si="193"/>
        <v>24400</v>
      </c>
      <c r="BB118" s="66">
        <f t="shared" si="193"/>
        <v>24400</v>
      </c>
      <c r="BC118" s="66">
        <f>$F118+(AP118*'3.Premissas de Despesas'!$B$26)</f>
        <v>25750</v>
      </c>
      <c r="BD118" s="66">
        <f t="shared" ref="BD118:BN118" si="194">$BC$118</f>
        <v>25750</v>
      </c>
      <c r="BE118" s="66">
        <f t="shared" si="194"/>
        <v>25750</v>
      </c>
      <c r="BF118" s="66">
        <f t="shared" si="194"/>
        <v>25750</v>
      </c>
      <c r="BG118" s="66">
        <f t="shared" si="194"/>
        <v>25750</v>
      </c>
      <c r="BH118" s="66">
        <f t="shared" si="194"/>
        <v>25750</v>
      </c>
      <c r="BI118" s="66">
        <f t="shared" si="194"/>
        <v>25750</v>
      </c>
      <c r="BJ118" s="66">
        <f t="shared" si="194"/>
        <v>25750</v>
      </c>
      <c r="BK118" s="66">
        <f t="shared" si="194"/>
        <v>25750</v>
      </c>
      <c r="BL118" s="66">
        <f t="shared" si="194"/>
        <v>25750</v>
      </c>
      <c r="BM118" s="66">
        <f t="shared" si="194"/>
        <v>25750</v>
      </c>
      <c r="BN118" s="66">
        <f t="shared" si="194"/>
        <v>25750</v>
      </c>
      <c r="BO118" s="66"/>
      <c r="BP118" s="66">
        <f t="shared" si="144"/>
        <v>240000</v>
      </c>
      <c r="BQ118" s="66">
        <f t="shared" si="145"/>
        <v>242000</v>
      </c>
      <c r="BR118" s="66">
        <f t="shared" si="146"/>
        <v>276000</v>
      </c>
      <c r="BS118" s="66">
        <f t="shared" si="147"/>
        <v>292800</v>
      </c>
      <c r="BT118" s="66">
        <f t="shared" si="148"/>
        <v>309000</v>
      </c>
    </row>
    <row r="119" spans="1:72" ht="15.75" customHeight="1" x14ac:dyDescent="0.35">
      <c r="A119" s="64" t="s">
        <v>172</v>
      </c>
      <c r="B119" s="64"/>
      <c r="C119" s="64"/>
      <c r="D119" s="64"/>
      <c r="E119" s="64"/>
      <c r="F119" s="69"/>
      <c r="G119" s="69">
        <f t="shared" ref="G119:AL119" si="195">+SUM(G107:G118)</f>
        <v>104833</v>
      </c>
      <c r="H119" s="69">
        <f t="shared" si="195"/>
        <v>104833</v>
      </c>
      <c r="I119" s="69">
        <f t="shared" si="195"/>
        <v>104833</v>
      </c>
      <c r="J119" s="69">
        <f t="shared" si="195"/>
        <v>104833</v>
      </c>
      <c r="K119" s="69">
        <f t="shared" si="195"/>
        <v>104833</v>
      </c>
      <c r="L119" s="69">
        <f t="shared" si="195"/>
        <v>104833</v>
      </c>
      <c r="M119" s="69">
        <f t="shared" si="195"/>
        <v>104833</v>
      </c>
      <c r="N119" s="69">
        <f t="shared" si="195"/>
        <v>104833</v>
      </c>
      <c r="O119" s="69">
        <f t="shared" si="195"/>
        <v>104833</v>
      </c>
      <c r="P119" s="69">
        <f t="shared" si="195"/>
        <v>104833</v>
      </c>
      <c r="Q119" s="69">
        <f t="shared" si="195"/>
        <v>104833</v>
      </c>
      <c r="R119" s="69">
        <f t="shared" si="195"/>
        <v>104833</v>
      </c>
      <c r="S119" s="69">
        <f t="shared" si="195"/>
        <v>115316.3</v>
      </c>
      <c r="T119" s="69">
        <f t="shared" si="195"/>
        <v>115316.3</v>
      </c>
      <c r="U119" s="69">
        <f t="shared" si="195"/>
        <v>115316.3</v>
      </c>
      <c r="V119" s="69">
        <f t="shared" si="195"/>
        <v>115316.3</v>
      </c>
      <c r="W119" s="69">
        <f t="shared" si="195"/>
        <v>115316.3</v>
      </c>
      <c r="X119" s="69">
        <f t="shared" si="195"/>
        <v>115316.3</v>
      </c>
      <c r="Y119" s="69">
        <f t="shared" si="195"/>
        <v>115316.3</v>
      </c>
      <c r="Z119" s="69">
        <f t="shared" si="195"/>
        <v>115316.3</v>
      </c>
      <c r="AA119" s="69">
        <f t="shared" si="195"/>
        <v>115316.3</v>
      </c>
      <c r="AB119" s="69">
        <f t="shared" si="195"/>
        <v>115316.3</v>
      </c>
      <c r="AC119" s="69">
        <f t="shared" si="195"/>
        <v>115316.3</v>
      </c>
      <c r="AD119" s="69">
        <f t="shared" si="195"/>
        <v>115316.3</v>
      </c>
      <c r="AE119" s="69">
        <f t="shared" si="195"/>
        <v>120557.95</v>
      </c>
      <c r="AF119" s="69">
        <f t="shared" si="195"/>
        <v>120557.95</v>
      </c>
      <c r="AG119" s="69">
        <f t="shared" si="195"/>
        <v>120557.95</v>
      </c>
      <c r="AH119" s="69">
        <f t="shared" si="195"/>
        <v>120557.95</v>
      </c>
      <c r="AI119" s="69">
        <f t="shared" si="195"/>
        <v>120557.95</v>
      </c>
      <c r="AJ119" s="69">
        <f t="shared" si="195"/>
        <v>120557.95</v>
      </c>
      <c r="AK119" s="69">
        <f t="shared" si="195"/>
        <v>120557.95</v>
      </c>
      <c r="AL119" s="69">
        <f t="shared" si="195"/>
        <v>120557.95</v>
      </c>
      <c r="AM119" s="69">
        <f t="shared" ref="AM119:BN119" si="196">+SUM(AM107:AM118)</f>
        <v>120557.95</v>
      </c>
      <c r="AN119" s="69">
        <f t="shared" si="196"/>
        <v>120557.95</v>
      </c>
      <c r="AO119" s="69">
        <f t="shared" si="196"/>
        <v>120557.95</v>
      </c>
      <c r="AP119" s="69">
        <f t="shared" si="196"/>
        <v>120557.95</v>
      </c>
      <c r="AQ119" s="69">
        <f t="shared" si="196"/>
        <v>127896.26000000001</v>
      </c>
      <c r="AR119" s="69">
        <f t="shared" si="196"/>
        <v>127896.26000000001</v>
      </c>
      <c r="AS119" s="69">
        <f t="shared" si="196"/>
        <v>127896.26000000001</v>
      </c>
      <c r="AT119" s="69">
        <f t="shared" si="196"/>
        <v>127896.26000000001</v>
      </c>
      <c r="AU119" s="69">
        <f t="shared" si="196"/>
        <v>127896.26000000001</v>
      </c>
      <c r="AV119" s="69">
        <f t="shared" si="196"/>
        <v>127896.26000000001</v>
      </c>
      <c r="AW119" s="69">
        <f t="shared" si="196"/>
        <v>127896.26000000001</v>
      </c>
      <c r="AX119" s="69">
        <f t="shared" si="196"/>
        <v>127896.26000000001</v>
      </c>
      <c r="AY119" s="69">
        <f t="shared" si="196"/>
        <v>127896.26000000001</v>
      </c>
      <c r="AZ119" s="69">
        <f t="shared" si="196"/>
        <v>127896.26000000001</v>
      </c>
      <c r="BA119" s="69">
        <f t="shared" si="196"/>
        <v>127896.26000000001</v>
      </c>
      <c r="BB119" s="69">
        <f t="shared" si="196"/>
        <v>127896.26000000001</v>
      </c>
      <c r="BC119" s="69">
        <f t="shared" si="196"/>
        <v>134972.48749999999</v>
      </c>
      <c r="BD119" s="69">
        <f t="shared" si="196"/>
        <v>134972.48749999999</v>
      </c>
      <c r="BE119" s="69">
        <f t="shared" si="196"/>
        <v>134972.48749999999</v>
      </c>
      <c r="BF119" s="69">
        <f t="shared" si="196"/>
        <v>134972.48749999999</v>
      </c>
      <c r="BG119" s="69">
        <f t="shared" si="196"/>
        <v>134972.48749999999</v>
      </c>
      <c r="BH119" s="69">
        <f t="shared" si="196"/>
        <v>134972.48749999999</v>
      </c>
      <c r="BI119" s="69">
        <f t="shared" si="196"/>
        <v>134972.48749999999</v>
      </c>
      <c r="BJ119" s="69">
        <f t="shared" si="196"/>
        <v>134972.48749999999</v>
      </c>
      <c r="BK119" s="69">
        <f t="shared" si="196"/>
        <v>134972.48749999999</v>
      </c>
      <c r="BL119" s="69">
        <f t="shared" si="196"/>
        <v>134972.48749999999</v>
      </c>
      <c r="BM119" s="69">
        <f t="shared" si="196"/>
        <v>134972.48749999999</v>
      </c>
      <c r="BN119" s="69">
        <f t="shared" si="196"/>
        <v>134972.48749999999</v>
      </c>
      <c r="BO119" s="66"/>
      <c r="BP119" s="69">
        <f>+SUM(BP107:BP118)</f>
        <v>1257996</v>
      </c>
      <c r="BQ119" s="69">
        <f>+SUM(BQ107:BQ118)</f>
        <v>1268479.2999999998</v>
      </c>
      <c r="BR119" s="69">
        <f>+SUM(BR107:BR118)</f>
        <v>1446695.4</v>
      </c>
      <c r="BS119" s="69">
        <f>+SUM(BS107:BS118)</f>
        <v>1534755.12</v>
      </c>
      <c r="BT119" s="69">
        <f>+SUM(BT107:BT118)</f>
        <v>1619669.8499999999</v>
      </c>
    </row>
    <row r="120" spans="1:72" ht="15.75" customHeight="1" x14ac:dyDescent="0.35">
      <c r="A120" s="20"/>
      <c r="B120" s="20"/>
      <c r="C120" s="20"/>
      <c r="D120" s="20"/>
      <c r="E120" s="20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6"/>
      <c r="AV120" s="66"/>
      <c r="AW120" s="66"/>
      <c r="AX120" s="66"/>
      <c r="AY120" s="66"/>
      <c r="AZ120" s="66"/>
      <c r="BA120" s="66"/>
      <c r="BB120" s="66"/>
      <c r="BC120" s="66"/>
      <c r="BD120" s="66"/>
      <c r="BE120" s="66"/>
      <c r="BF120" s="66"/>
      <c r="BG120" s="66"/>
      <c r="BH120" s="66"/>
      <c r="BI120" s="66"/>
      <c r="BJ120" s="66"/>
      <c r="BK120" s="66"/>
      <c r="BL120" s="66"/>
      <c r="BM120" s="66"/>
      <c r="BN120" s="66"/>
      <c r="BO120" s="66"/>
      <c r="BP120" s="66"/>
      <c r="BQ120" s="66"/>
      <c r="BR120" s="66"/>
      <c r="BS120" s="66"/>
      <c r="BT120" s="66"/>
    </row>
    <row r="121" spans="1:72" ht="15.75" customHeight="1" x14ac:dyDescent="0.35">
      <c r="A121" s="46" t="s">
        <v>124</v>
      </c>
      <c r="B121" s="46"/>
      <c r="C121" s="46"/>
      <c r="D121" s="46"/>
      <c r="E121" s="46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1"/>
      <c r="AI121" s="91"/>
      <c r="AJ121" s="91"/>
      <c r="AK121" s="91"/>
      <c r="AL121" s="91"/>
      <c r="AM121" s="91"/>
      <c r="AN121" s="91"/>
      <c r="AO121" s="91"/>
      <c r="AP121" s="91"/>
      <c r="AQ121" s="91"/>
      <c r="AR121" s="91"/>
      <c r="AS121" s="91"/>
      <c r="AT121" s="91"/>
      <c r="AU121" s="91"/>
      <c r="AV121" s="91"/>
      <c r="AW121" s="91"/>
      <c r="AX121" s="91"/>
      <c r="AY121" s="91"/>
      <c r="AZ121" s="91"/>
      <c r="BA121" s="91"/>
      <c r="BB121" s="91"/>
      <c r="BC121" s="91"/>
      <c r="BD121" s="91"/>
      <c r="BE121" s="91"/>
      <c r="BF121" s="91"/>
      <c r="BG121" s="91"/>
      <c r="BH121" s="91"/>
      <c r="BI121" s="91"/>
      <c r="BJ121" s="91"/>
      <c r="BK121" s="91"/>
      <c r="BL121" s="91"/>
      <c r="BM121" s="91"/>
      <c r="BN121" s="91"/>
      <c r="BO121" s="66"/>
      <c r="BP121" s="66"/>
      <c r="BQ121" s="66"/>
      <c r="BR121" s="66"/>
      <c r="BS121" s="66"/>
      <c r="BT121" s="66"/>
    </row>
    <row r="122" spans="1:72" ht="15.75" customHeight="1" outlineLevel="1" x14ac:dyDescent="0.35">
      <c r="A122" s="27"/>
      <c r="B122" s="20" t="s">
        <v>125</v>
      </c>
      <c r="C122" s="27"/>
      <c r="D122" s="27"/>
      <c r="E122" s="27"/>
      <c r="F122" s="90">
        <f>'3.Premissas de Despesas'!B18</f>
        <v>1000</v>
      </c>
      <c r="G122" s="66">
        <f t="shared" ref="G122:R124" si="197">$F122</f>
        <v>1000</v>
      </c>
      <c r="H122" s="66">
        <f t="shared" si="197"/>
        <v>1000</v>
      </c>
      <c r="I122" s="66">
        <f t="shared" si="197"/>
        <v>1000</v>
      </c>
      <c r="J122" s="66">
        <f t="shared" si="197"/>
        <v>1000</v>
      </c>
      <c r="K122" s="66">
        <f t="shared" si="197"/>
        <v>1000</v>
      </c>
      <c r="L122" s="66">
        <f t="shared" si="197"/>
        <v>1000</v>
      </c>
      <c r="M122" s="66">
        <f t="shared" si="197"/>
        <v>1000</v>
      </c>
      <c r="N122" s="66">
        <f t="shared" si="197"/>
        <v>1000</v>
      </c>
      <c r="O122" s="66">
        <f t="shared" si="197"/>
        <v>1000</v>
      </c>
      <c r="P122" s="66">
        <f t="shared" si="197"/>
        <v>1000</v>
      </c>
      <c r="Q122" s="66">
        <f t="shared" si="197"/>
        <v>1000</v>
      </c>
      <c r="R122" s="66">
        <f t="shared" si="197"/>
        <v>1000</v>
      </c>
      <c r="S122" s="66">
        <f>$F122+(F122*'3.Premissas de Despesas'!$B$23)</f>
        <v>1100</v>
      </c>
      <c r="T122" s="66">
        <f t="shared" ref="T122:AD122" si="198">$S$122</f>
        <v>1100</v>
      </c>
      <c r="U122" s="66">
        <f t="shared" si="198"/>
        <v>1100</v>
      </c>
      <c r="V122" s="66">
        <f t="shared" si="198"/>
        <v>1100</v>
      </c>
      <c r="W122" s="66">
        <f t="shared" si="198"/>
        <v>1100</v>
      </c>
      <c r="X122" s="66">
        <f t="shared" si="198"/>
        <v>1100</v>
      </c>
      <c r="Y122" s="66">
        <f t="shared" si="198"/>
        <v>1100</v>
      </c>
      <c r="Z122" s="66">
        <f t="shared" si="198"/>
        <v>1100</v>
      </c>
      <c r="AA122" s="66">
        <f t="shared" si="198"/>
        <v>1100</v>
      </c>
      <c r="AB122" s="66">
        <f t="shared" si="198"/>
        <v>1100</v>
      </c>
      <c r="AC122" s="66">
        <f t="shared" si="198"/>
        <v>1100</v>
      </c>
      <c r="AD122" s="66">
        <f t="shared" si="198"/>
        <v>1100</v>
      </c>
      <c r="AE122" s="66">
        <f>$F122+(R122*'3.Premissas de Despesas'!$B$24)</f>
        <v>1150</v>
      </c>
      <c r="AF122" s="66">
        <f t="shared" ref="AF122:AP122" si="199">$AE$122</f>
        <v>1150</v>
      </c>
      <c r="AG122" s="66">
        <f t="shared" si="199"/>
        <v>1150</v>
      </c>
      <c r="AH122" s="66">
        <f t="shared" si="199"/>
        <v>1150</v>
      </c>
      <c r="AI122" s="66">
        <f t="shared" si="199"/>
        <v>1150</v>
      </c>
      <c r="AJ122" s="66">
        <f t="shared" si="199"/>
        <v>1150</v>
      </c>
      <c r="AK122" s="66">
        <f t="shared" si="199"/>
        <v>1150</v>
      </c>
      <c r="AL122" s="66">
        <f t="shared" si="199"/>
        <v>1150</v>
      </c>
      <c r="AM122" s="66">
        <f t="shared" si="199"/>
        <v>1150</v>
      </c>
      <c r="AN122" s="66">
        <f t="shared" si="199"/>
        <v>1150</v>
      </c>
      <c r="AO122" s="66">
        <f t="shared" si="199"/>
        <v>1150</v>
      </c>
      <c r="AP122" s="66">
        <f t="shared" si="199"/>
        <v>1150</v>
      </c>
      <c r="AQ122" s="66">
        <f>$F122+(AD122*'3.Premissas de Despesas'!$B$25)</f>
        <v>1220</v>
      </c>
      <c r="AR122" s="66">
        <f t="shared" ref="AR122:BN122" si="200">$AQ$122</f>
        <v>1220</v>
      </c>
      <c r="AS122" s="66">
        <f t="shared" si="200"/>
        <v>1220</v>
      </c>
      <c r="AT122" s="66">
        <f t="shared" si="200"/>
        <v>1220</v>
      </c>
      <c r="AU122" s="66">
        <f t="shared" si="200"/>
        <v>1220</v>
      </c>
      <c r="AV122" s="66">
        <f t="shared" si="200"/>
        <v>1220</v>
      </c>
      <c r="AW122" s="66">
        <f t="shared" si="200"/>
        <v>1220</v>
      </c>
      <c r="AX122" s="66">
        <f t="shared" si="200"/>
        <v>1220</v>
      </c>
      <c r="AY122" s="66">
        <f t="shared" si="200"/>
        <v>1220</v>
      </c>
      <c r="AZ122" s="66">
        <f t="shared" si="200"/>
        <v>1220</v>
      </c>
      <c r="BA122" s="66">
        <f t="shared" si="200"/>
        <v>1220</v>
      </c>
      <c r="BB122" s="66">
        <f t="shared" si="200"/>
        <v>1220</v>
      </c>
      <c r="BC122" s="66">
        <f t="shared" si="200"/>
        <v>1220</v>
      </c>
      <c r="BD122" s="66">
        <f t="shared" si="200"/>
        <v>1220</v>
      </c>
      <c r="BE122" s="66">
        <f t="shared" si="200"/>
        <v>1220</v>
      </c>
      <c r="BF122" s="66">
        <f t="shared" si="200"/>
        <v>1220</v>
      </c>
      <c r="BG122" s="66">
        <f t="shared" si="200"/>
        <v>1220</v>
      </c>
      <c r="BH122" s="66">
        <f t="shared" si="200"/>
        <v>1220</v>
      </c>
      <c r="BI122" s="66">
        <f t="shared" si="200"/>
        <v>1220</v>
      </c>
      <c r="BJ122" s="66">
        <f t="shared" si="200"/>
        <v>1220</v>
      </c>
      <c r="BK122" s="66">
        <f t="shared" si="200"/>
        <v>1220</v>
      </c>
      <c r="BL122" s="66">
        <f t="shared" si="200"/>
        <v>1220</v>
      </c>
      <c r="BM122" s="66">
        <f t="shared" si="200"/>
        <v>1220</v>
      </c>
      <c r="BN122" s="66">
        <f t="shared" si="200"/>
        <v>1220</v>
      </c>
      <c r="BO122" s="66"/>
      <c r="BP122" s="66">
        <f t="shared" ref="BP122:BT124" si="201">SUM(G122:R122)</f>
        <v>12000</v>
      </c>
      <c r="BQ122" s="66">
        <f t="shared" si="201"/>
        <v>12100</v>
      </c>
      <c r="BR122" s="66">
        <f t="shared" si="201"/>
        <v>12200</v>
      </c>
      <c r="BS122" s="66">
        <f t="shared" si="201"/>
        <v>12300</v>
      </c>
      <c r="BT122" s="66">
        <f t="shared" si="201"/>
        <v>12400</v>
      </c>
    </row>
    <row r="123" spans="1:72" ht="15.75" customHeight="1" outlineLevel="1" x14ac:dyDescent="0.35">
      <c r="A123" s="20"/>
      <c r="B123" s="20" t="s">
        <v>173</v>
      </c>
      <c r="C123" s="20"/>
      <c r="D123" s="20"/>
      <c r="E123" s="20"/>
      <c r="F123" s="90">
        <f>'3.Premissas de Despesas'!B19</f>
        <v>15000</v>
      </c>
      <c r="G123" s="66">
        <f t="shared" si="197"/>
        <v>15000</v>
      </c>
      <c r="H123" s="66">
        <f t="shared" si="197"/>
        <v>15000</v>
      </c>
      <c r="I123" s="66">
        <f t="shared" si="197"/>
        <v>15000</v>
      </c>
      <c r="J123" s="66">
        <f t="shared" si="197"/>
        <v>15000</v>
      </c>
      <c r="K123" s="66">
        <f t="shared" si="197"/>
        <v>15000</v>
      </c>
      <c r="L123" s="66">
        <f t="shared" si="197"/>
        <v>15000</v>
      </c>
      <c r="M123" s="66">
        <f t="shared" si="197"/>
        <v>15000</v>
      </c>
      <c r="N123" s="66">
        <f t="shared" si="197"/>
        <v>15000</v>
      </c>
      <c r="O123" s="66">
        <f t="shared" si="197"/>
        <v>15000</v>
      </c>
      <c r="P123" s="66">
        <f t="shared" si="197"/>
        <v>15000</v>
      </c>
      <c r="Q123" s="66">
        <f t="shared" si="197"/>
        <v>15000</v>
      </c>
      <c r="R123" s="66">
        <f t="shared" si="197"/>
        <v>15000</v>
      </c>
      <c r="S123" s="66">
        <f>$F123+(F123*'3.Premissas de Despesas'!$B$23)</f>
        <v>16500</v>
      </c>
      <c r="T123" s="66">
        <f t="shared" ref="T123:AD123" si="202">$S$123</f>
        <v>16500</v>
      </c>
      <c r="U123" s="66">
        <f t="shared" si="202"/>
        <v>16500</v>
      </c>
      <c r="V123" s="66">
        <f t="shared" si="202"/>
        <v>16500</v>
      </c>
      <c r="W123" s="66">
        <f t="shared" si="202"/>
        <v>16500</v>
      </c>
      <c r="X123" s="66">
        <f t="shared" si="202"/>
        <v>16500</v>
      </c>
      <c r="Y123" s="66">
        <f t="shared" si="202"/>
        <v>16500</v>
      </c>
      <c r="Z123" s="66">
        <f t="shared" si="202"/>
        <v>16500</v>
      </c>
      <c r="AA123" s="66">
        <f t="shared" si="202"/>
        <v>16500</v>
      </c>
      <c r="AB123" s="66">
        <f t="shared" si="202"/>
        <v>16500</v>
      </c>
      <c r="AC123" s="66">
        <f t="shared" si="202"/>
        <v>16500</v>
      </c>
      <c r="AD123" s="66">
        <f t="shared" si="202"/>
        <v>16500</v>
      </c>
      <c r="AE123" s="66">
        <f>$F123+(R123*'3.Premissas de Despesas'!$B$24)</f>
        <v>17250</v>
      </c>
      <c r="AF123" s="66">
        <f t="shared" ref="AF123:AP123" si="203">$AE$123</f>
        <v>17250</v>
      </c>
      <c r="AG123" s="66">
        <f t="shared" si="203"/>
        <v>17250</v>
      </c>
      <c r="AH123" s="66">
        <f t="shared" si="203"/>
        <v>17250</v>
      </c>
      <c r="AI123" s="66">
        <f t="shared" si="203"/>
        <v>17250</v>
      </c>
      <c r="AJ123" s="66">
        <f t="shared" si="203"/>
        <v>17250</v>
      </c>
      <c r="AK123" s="66">
        <f t="shared" si="203"/>
        <v>17250</v>
      </c>
      <c r="AL123" s="66">
        <f t="shared" si="203"/>
        <v>17250</v>
      </c>
      <c r="AM123" s="66">
        <f t="shared" si="203"/>
        <v>17250</v>
      </c>
      <c r="AN123" s="66">
        <f t="shared" si="203"/>
        <v>17250</v>
      </c>
      <c r="AO123" s="66">
        <f t="shared" si="203"/>
        <v>17250</v>
      </c>
      <c r="AP123" s="66">
        <f t="shared" si="203"/>
        <v>17250</v>
      </c>
      <c r="AQ123" s="66">
        <f>$F123+(AD123*'3.Premissas de Despesas'!$B$25)</f>
        <v>18300</v>
      </c>
      <c r="AR123" s="66">
        <f t="shared" ref="AR123:BN123" si="204">$AQ$123</f>
        <v>18300</v>
      </c>
      <c r="AS123" s="66">
        <f t="shared" si="204"/>
        <v>18300</v>
      </c>
      <c r="AT123" s="66">
        <f t="shared" si="204"/>
        <v>18300</v>
      </c>
      <c r="AU123" s="66">
        <f t="shared" si="204"/>
        <v>18300</v>
      </c>
      <c r="AV123" s="66">
        <f t="shared" si="204"/>
        <v>18300</v>
      </c>
      <c r="AW123" s="66">
        <f t="shared" si="204"/>
        <v>18300</v>
      </c>
      <c r="AX123" s="66">
        <f t="shared" si="204"/>
        <v>18300</v>
      </c>
      <c r="AY123" s="66">
        <f t="shared" si="204"/>
        <v>18300</v>
      </c>
      <c r="AZ123" s="66">
        <f t="shared" si="204"/>
        <v>18300</v>
      </c>
      <c r="BA123" s="66">
        <f t="shared" si="204"/>
        <v>18300</v>
      </c>
      <c r="BB123" s="66">
        <f t="shared" si="204"/>
        <v>18300</v>
      </c>
      <c r="BC123" s="66">
        <f t="shared" si="204"/>
        <v>18300</v>
      </c>
      <c r="BD123" s="66">
        <f t="shared" si="204"/>
        <v>18300</v>
      </c>
      <c r="BE123" s="66">
        <f t="shared" si="204"/>
        <v>18300</v>
      </c>
      <c r="BF123" s="66">
        <f t="shared" si="204"/>
        <v>18300</v>
      </c>
      <c r="BG123" s="66">
        <f t="shared" si="204"/>
        <v>18300</v>
      </c>
      <c r="BH123" s="66">
        <f t="shared" si="204"/>
        <v>18300</v>
      </c>
      <c r="BI123" s="66">
        <f t="shared" si="204"/>
        <v>18300</v>
      </c>
      <c r="BJ123" s="66">
        <f t="shared" si="204"/>
        <v>18300</v>
      </c>
      <c r="BK123" s="66">
        <f t="shared" si="204"/>
        <v>18300</v>
      </c>
      <c r="BL123" s="66">
        <f t="shared" si="204"/>
        <v>18300</v>
      </c>
      <c r="BM123" s="66">
        <f t="shared" si="204"/>
        <v>18300</v>
      </c>
      <c r="BN123" s="66">
        <f t="shared" si="204"/>
        <v>18300</v>
      </c>
      <c r="BO123" s="66"/>
      <c r="BP123" s="66">
        <f t="shared" si="201"/>
        <v>180000</v>
      </c>
      <c r="BQ123" s="66">
        <f t="shared" si="201"/>
        <v>181500</v>
      </c>
      <c r="BR123" s="66">
        <f t="shared" si="201"/>
        <v>183000</v>
      </c>
      <c r="BS123" s="66">
        <f t="shared" si="201"/>
        <v>184500</v>
      </c>
      <c r="BT123" s="66">
        <f t="shared" si="201"/>
        <v>186000</v>
      </c>
    </row>
    <row r="124" spans="1:72" ht="15.75" customHeight="1" outlineLevel="1" x14ac:dyDescent="0.35">
      <c r="A124" s="20"/>
      <c r="B124" s="20" t="s">
        <v>127</v>
      </c>
      <c r="C124" s="20"/>
      <c r="D124" s="20"/>
      <c r="E124" s="20"/>
      <c r="F124" s="90">
        <f>'3.Premissas de Despesas'!B20</f>
        <v>0</v>
      </c>
      <c r="G124" s="66">
        <f t="shared" si="197"/>
        <v>0</v>
      </c>
      <c r="H124" s="66">
        <f t="shared" si="197"/>
        <v>0</v>
      </c>
      <c r="I124" s="66">
        <f t="shared" si="197"/>
        <v>0</v>
      </c>
      <c r="J124" s="66">
        <f t="shared" si="197"/>
        <v>0</v>
      </c>
      <c r="K124" s="66">
        <f t="shared" si="197"/>
        <v>0</v>
      </c>
      <c r="L124" s="66">
        <f t="shared" si="197"/>
        <v>0</v>
      </c>
      <c r="M124" s="66">
        <f t="shared" si="197"/>
        <v>0</v>
      </c>
      <c r="N124" s="66">
        <f t="shared" si="197"/>
        <v>0</v>
      </c>
      <c r="O124" s="66">
        <f t="shared" si="197"/>
        <v>0</v>
      </c>
      <c r="P124" s="66">
        <f t="shared" si="197"/>
        <v>0</v>
      </c>
      <c r="Q124" s="66">
        <f t="shared" si="197"/>
        <v>0</v>
      </c>
      <c r="R124" s="66">
        <f t="shared" si="197"/>
        <v>0</v>
      </c>
      <c r="S124" s="66">
        <f>$F124+(F124*'3.Premissas de Despesas'!$B$23)</f>
        <v>0</v>
      </c>
      <c r="T124" s="66">
        <f t="shared" ref="T124:AD124" si="205">$S$124</f>
        <v>0</v>
      </c>
      <c r="U124" s="66">
        <f t="shared" si="205"/>
        <v>0</v>
      </c>
      <c r="V124" s="66">
        <f t="shared" si="205"/>
        <v>0</v>
      </c>
      <c r="W124" s="66">
        <f t="shared" si="205"/>
        <v>0</v>
      </c>
      <c r="X124" s="66">
        <f t="shared" si="205"/>
        <v>0</v>
      </c>
      <c r="Y124" s="66">
        <f t="shared" si="205"/>
        <v>0</v>
      </c>
      <c r="Z124" s="66">
        <f t="shared" si="205"/>
        <v>0</v>
      </c>
      <c r="AA124" s="66">
        <f t="shared" si="205"/>
        <v>0</v>
      </c>
      <c r="AB124" s="66">
        <f t="shared" si="205"/>
        <v>0</v>
      </c>
      <c r="AC124" s="66">
        <f t="shared" si="205"/>
        <v>0</v>
      </c>
      <c r="AD124" s="66">
        <f t="shared" si="205"/>
        <v>0</v>
      </c>
      <c r="AE124" s="66">
        <f>$F124+(R124*'3.Premissas de Despesas'!$B$24)</f>
        <v>0</v>
      </c>
      <c r="AF124" s="66">
        <f t="shared" ref="AF124:AP124" si="206">$AE$124</f>
        <v>0</v>
      </c>
      <c r="AG124" s="66">
        <f t="shared" si="206"/>
        <v>0</v>
      </c>
      <c r="AH124" s="66">
        <f t="shared" si="206"/>
        <v>0</v>
      </c>
      <c r="AI124" s="66">
        <f t="shared" si="206"/>
        <v>0</v>
      </c>
      <c r="AJ124" s="66">
        <f t="shared" si="206"/>
        <v>0</v>
      </c>
      <c r="AK124" s="66">
        <f t="shared" si="206"/>
        <v>0</v>
      </c>
      <c r="AL124" s="66">
        <f t="shared" si="206"/>
        <v>0</v>
      </c>
      <c r="AM124" s="66">
        <f t="shared" si="206"/>
        <v>0</v>
      </c>
      <c r="AN124" s="66">
        <f t="shared" si="206"/>
        <v>0</v>
      </c>
      <c r="AO124" s="66">
        <f t="shared" si="206"/>
        <v>0</v>
      </c>
      <c r="AP124" s="66">
        <f t="shared" si="206"/>
        <v>0</v>
      </c>
      <c r="AQ124" s="66">
        <f>$F124+(AD124*'3.Premissas de Despesas'!$B$25)</f>
        <v>0</v>
      </c>
      <c r="AR124" s="66">
        <f t="shared" ref="AR124:BN124" si="207">$AQ$124</f>
        <v>0</v>
      </c>
      <c r="AS124" s="66">
        <f t="shared" si="207"/>
        <v>0</v>
      </c>
      <c r="AT124" s="66">
        <f t="shared" si="207"/>
        <v>0</v>
      </c>
      <c r="AU124" s="66">
        <f t="shared" si="207"/>
        <v>0</v>
      </c>
      <c r="AV124" s="66">
        <f t="shared" si="207"/>
        <v>0</v>
      </c>
      <c r="AW124" s="66">
        <f t="shared" si="207"/>
        <v>0</v>
      </c>
      <c r="AX124" s="66">
        <f t="shared" si="207"/>
        <v>0</v>
      </c>
      <c r="AY124" s="66">
        <f t="shared" si="207"/>
        <v>0</v>
      </c>
      <c r="AZ124" s="66">
        <f t="shared" si="207"/>
        <v>0</v>
      </c>
      <c r="BA124" s="66">
        <f t="shared" si="207"/>
        <v>0</v>
      </c>
      <c r="BB124" s="66">
        <f t="shared" si="207"/>
        <v>0</v>
      </c>
      <c r="BC124" s="66">
        <f t="shared" si="207"/>
        <v>0</v>
      </c>
      <c r="BD124" s="66">
        <f t="shared" si="207"/>
        <v>0</v>
      </c>
      <c r="BE124" s="66">
        <f t="shared" si="207"/>
        <v>0</v>
      </c>
      <c r="BF124" s="66">
        <f t="shared" si="207"/>
        <v>0</v>
      </c>
      <c r="BG124" s="66">
        <f t="shared" si="207"/>
        <v>0</v>
      </c>
      <c r="BH124" s="66">
        <f t="shared" si="207"/>
        <v>0</v>
      </c>
      <c r="BI124" s="66">
        <f t="shared" si="207"/>
        <v>0</v>
      </c>
      <c r="BJ124" s="66">
        <f t="shared" si="207"/>
        <v>0</v>
      </c>
      <c r="BK124" s="66">
        <f t="shared" si="207"/>
        <v>0</v>
      </c>
      <c r="BL124" s="66">
        <f t="shared" si="207"/>
        <v>0</v>
      </c>
      <c r="BM124" s="66">
        <f t="shared" si="207"/>
        <v>0</v>
      </c>
      <c r="BN124" s="66">
        <f t="shared" si="207"/>
        <v>0</v>
      </c>
      <c r="BO124" s="66"/>
      <c r="BP124" s="66">
        <f t="shared" si="201"/>
        <v>0</v>
      </c>
      <c r="BQ124" s="66">
        <f t="shared" si="201"/>
        <v>0</v>
      </c>
      <c r="BR124" s="66">
        <f t="shared" si="201"/>
        <v>0</v>
      </c>
      <c r="BS124" s="66">
        <f t="shared" si="201"/>
        <v>0</v>
      </c>
      <c r="BT124" s="66">
        <f t="shared" si="201"/>
        <v>0</v>
      </c>
    </row>
    <row r="125" spans="1:72" ht="15.75" customHeight="1" x14ac:dyDescent="0.35">
      <c r="A125" s="64" t="s">
        <v>174</v>
      </c>
      <c r="B125" s="64"/>
      <c r="C125" s="64"/>
      <c r="D125" s="64"/>
      <c r="E125" s="64"/>
      <c r="F125" s="69"/>
      <c r="G125" s="69">
        <f t="shared" ref="G125:AL125" si="208">+SUM(G122:G124)</f>
        <v>16000</v>
      </c>
      <c r="H125" s="69">
        <f t="shared" si="208"/>
        <v>16000</v>
      </c>
      <c r="I125" s="69">
        <f t="shared" si="208"/>
        <v>16000</v>
      </c>
      <c r="J125" s="69">
        <f t="shared" si="208"/>
        <v>16000</v>
      </c>
      <c r="K125" s="69">
        <f t="shared" si="208"/>
        <v>16000</v>
      </c>
      <c r="L125" s="69">
        <f t="shared" si="208"/>
        <v>16000</v>
      </c>
      <c r="M125" s="69">
        <f t="shared" si="208"/>
        <v>16000</v>
      </c>
      <c r="N125" s="69">
        <f t="shared" si="208"/>
        <v>16000</v>
      </c>
      <c r="O125" s="69">
        <f t="shared" si="208"/>
        <v>16000</v>
      </c>
      <c r="P125" s="69">
        <f t="shared" si="208"/>
        <v>16000</v>
      </c>
      <c r="Q125" s="69">
        <f t="shared" si="208"/>
        <v>16000</v>
      </c>
      <c r="R125" s="69">
        <f t="shared" si="208"/>
        <v>16000</v>
      </c>
      <c r="S125" s="69">
        <f t="shared" si="208"/>
        <v>17600</v>
      </c>
      <c r="T125" s="69">
        <f t="shared" si="208"/>
        <v>17600</v>
      </c>
      <c r="U125" s="69">
        <f t="shared" si="208"/>
        <v>17600</v>
      </c>
      <c r="V125" s="69">
        <f t="shared" si="208"/>
        <v>17600</v>
      </c>
      <c r="W125" s="69">
        <f t="shared" si="208"/>
        <v>17600</v>
      </c>
      <c r="X125" s="69">
        <f t="shared" si="208"/>
        <v>17600</v>
      </c>
      <c r="Y125" s="69">
        <f t="shared" si="208"/>
        <v>17600</v>
      </c>
      <c r="Z125" s="69">
        <f t="shared" si="208"/>
        <v>17600</v>
      </c>
      <c r="AA125" s="69">
        <f t="shared" si="208"/>
        <v>17600</v>
      </c>
      <c r="AB125" s="69">
        <f t="shared" si="208"/>
        <v>17600</v>
      </c>
      <c r="AC125" s="69">
        <f t="shared" si="208"/>
        <v>17600</v>
      </c>
      <c r="AD125" s="69">
        <f t="shared" si="208"/>
        <v>17600</v>
      </c>
      <c r="AE125" s="69">
        <f t="shared" si="208"/>
        <v>18400</v>
      </c>
      <c r="AF125" s="69">
        <f t="shared" si="208"/>
        <v>18400</v>
      </c>
      <c r="AG125" s="69">
        <f t="shared" si="208"/>
        <v>18400</v>
      </c>
      <c r="AH125" s="69">
        <f t="shared" si="208"/>
        <v>18400</v>
      </c>
      <c r="AI125" s="69">
        <f t="shared" si="208"/>
        <v>18400</v>
      </c>
      <c r="AJ125" s="69">
        <f t="shared" si="208"/>
        <v>18400</v>
      </c>
      <c r="AK125" s="69">
        <f t="shared" si="208"/>
        <v>18400</v>
      </c>
      <c r="AL125" s="69">
        <f t="shared" si="208"/>
        <v>18400</v>
      </c>
      <c r="AM125" s="69">
        <f t="shared" ref="AM125:BN125" si="209">+SUM(AM122:AM124)</f>
        <v>18400</v>
      </c>
      <c r="AN125" s="69">
        <f t="shared" si="209"/>
        <v>18400</v>
      </c>
      <c r="AO125" s="69">
        <f t="shared" si="209"/>
        <v>18400</v>
      </c>
      <c r="AP125" s="69">
        <f t="shared" si="209"/>
        <v>18400</v>
      </c>
      <c r="AQ125" s="69">
        <f t="shared" si="209"/>
        <v>19520</v>
      </c>
      <c r="AR125" s="69">
        <f t="shared" si="209"/>
        <v>19520</v>
      </c>
      <c r="AS125" s="69">
        <f t="shared" si="209"/>
        <v>19520</v>
      </c>
      <c r="AT125" s="69">
        <f t="shared" si="209"/>
        <v>19520</v>
      </c>
      <c r="AU125" s="69">
        <f t="shared" si="209"/>
        <v>19520</v>
      </c>
      <c r="AV125" s="69">
        <f t="shared" si="209"/>
        <v>19520</v>
      </c>
      <c r="AW125" s="69">
        <f t="shared" si="209"/>
        <v>19520</v>
      </c>
      <c r="AX125" s="69">
        <f t="shared" si="209"/>
        <v>19520</v>
      </c>
      <c r="AY125" s="69">
        <f t="shared" si="209"/>
        <v>19520</v>
      </c>
      <c r="AZ125" s="69">
        <f t="shared" si="209"/>
        <v>19520</v>
      </c>
      <c r="BA125" s="69">
        <f t="shared" si="209"/>
        <v>19520</v>
      </c>
      <c r="BB125" s="69">
        <f t="shared" si="209"/>
        <v>19520</v>
      </c>
      <c r="BC125" s="69">
        <f t="shared" si="209"/>
        <v>19520</v>
      </c>
      <c r="BD125" s="69">
        <f t="shared" si="209"/>
        <v>19520</v>
      </c>
      <c r="BE125" s="69">
        <f t="shared" si="209"/>
        <v>19520</v>
      </c>
      <c r="BF125" s="69">
        <f t="shared" si="209"/>
        <v>19520</v>
      </c>
      <c r="BG125" s="69">
        <f t="shared" si="209"/>
        <v>19520</v>
      </c>
      <c r="BH125" s="69">
        <f t="shared" si="209"/>
        <v>19520</v>
      </c>
      <c r="BI125" s="69">
        <f t="shared" si="209"/>
        <v>19520</v>
      </c>
      <c r="BJ125" s="69">
        <f t="shared" si="209"/>
        <v>19520</v>
      </c>
      <c r="BK125" s="69">
        <f t="shared" si="209"/>
        <v>19520</v>
      </c>
      <c r="BL125" s="69">
        <f t="shared" si="209"/>
        <v>19520</v>
      </c>
      <c r="BM125" s="69">
        <f t="shared" si="209"/>
        <v>19520</v>
      </c>
      <c r="BN125" s="69">
        <f t="shared" si="209"/>
        <v>19520</v>
      </c>
      <c r="BO125" s="66"/>
      <c r="BP125" s="69">
        <f>+SUM(BP122:BP124)</f>
        <v>192000</v>
      </c>
      <c r="BQ125" s="69">
        <f>+SUM(BQ122:BQ124)</f>
        <v>193600</v>
      </c>
      <c r="BR125" s="69">
        <f>+SUM(BR122:BR124)</f>
        <v>195200</v>
      </c>
      <c r="BS125" s="69">
        <f>+SUM(BS122:BS124)</f>
        <v>196800</v>
      </c>
      <c r="BT125" s="69">
        <f>+SUM(BT122:BT124)</f>
        <v>198400</v>
      </c>
    </row>
    <row r="126" spans="1:72" ht="15.75" customHeight="1" x14ac:dyDescent="0.35">
      <c r="A126" s="20"/>
      <c r="B126" s="20"/>
      <c r="C126" s="20"/>
      <c r="D126" s="20"/>
      <c r="E126" s="20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6"/>
      <c r="AT126" s="66"/>
      <c r="AU126" s="66"/>
      <c r="AV126" s="66"/>
      <c r="AW126" s="66"/>
      <c r="AX126" s="66"/>
      <c r="AY126" s="66"/>
      <c r="AZ126" s="66"/>
      <c r="BA126" s="66"/>
      <c r="BB126" s="66"/>
      <c r="BC126" s="66"/>
      <c r="BD126" s="66"/>
      <c r="BE126" s="66"/>
      <c r="BF126" s="66"/>
      <c r="BG126" s="66"/>
      <c r="BH126" s="66"/>
      <c r="BI126" s="66"/>
      <c r="BJ126" s="66"/>
      <c r="BK126" s="66"/>
      <c r="BL126" s="66"/>
      <c r="BM126" s="66"/>
      <c r="BN126" s="66"/>
      <c r="BO126" s="66"/>
      <c r="BP126" s="66"/>
      <c r="BQ126" s="66"/>
      <c r="BR126" s="66"/>
      <c r="BS126" s="66"/>
      <c r="BT126" s="66"/>
    </row>
    <row r="127" spans="1:72" ht="15.75" customHeight="1" x14ac:dyDescent="0.35">
      <c r="A127" s="20"/>
      <c r="B127" s="20"/>
      <c r="C127" s="20"/>
      <c r="D127" s="20"/>
      <c r="E127" s="20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6"/>
      <c r="AT127" s="66"/>
      <c r="AU127" s="66"/>
      <c r="AV127" s="66"/>
      <c r="AW127" s="66"/>
      <c r="AX127" s="66"/>
      <c r="AY127" s="66"/>
      <c r="AZ127" s="66"/>
      <c r="BA127" s="66"/>
      <c r="BB127" s="66"/>
      <c r="BC127" s="66"/>
      <c r="BD127" s="66"/>
      <c r="BE127" s="66"/>
      <c r="BF127" s="66"/>
      <c r="BG127" s="66"/>
      <c r="BH127" s="66"/>
      <c r="BI127" s="66"/>
      <c r="BJ127" s="66"/>
      <c r="BK127" s="66"/>
      <c r="BL127" s="66"/>
      <c r="BM127" s="66"/>
      <c r="BN127" s="66"/>
      <c r="BO127" s="66"/>
      <c r="BP127" s="66"/>
      <c r="BQ127" s="66"/>
      <c r="BR127" s="66"/>
      <c r="BS127" s="66"/>
      <c r="BT127" s="66"/>
    </row>
    <row r="128" spans="1:72" ht="15.75" customHeight="1" x14ac:dyDescent="0.35">
      <c r="A128" s="20"/>
      <c r="B128" s="20"/>
      <c r="C128" s="20"/>
      <c r="D128" s="20"/>
      <c r="E128" s="20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6"/>
      <c r="AT128" s="66"/>
      <c r="AU128" s="66"/>
      <c r="AV128" s="66"/>
      <c r="AW128" s="66"/>
      <c r="AX128" s="66"/>
      <c r="AY128" s="66"/>
      <c r="AZ128" s="66"/>
      <c r="BA128" s="66"/>
      <c r="BB128" s="66"/>
      <c r="BC128" s="66"/>
      <c r="BD128" s="66"/>
      <c r="BE128" s="66"/>
      <c r="BF128" s="66"/>
      <c r="BG128" s="66"/>
      <c r="BH128" s="66"/>
      <c r="BI128" s="66"/>
      <c r="BJ128" s="66"/>
      <c r="BK128" s="66"/>
      <c r="BL128" s="66"/>
      <c r="BM128" s="66"/>
      <c r="BN128" s="66"/>
      <c r="BO128" s="66"/>
      <c r="BP128" s="66"/>
      <c r="BQ128" s="66"/>
      <c r="BR128" s="66"/>
      <c r="BS128" s="66"/>
      <c r="BT128" s="66"/>
    </row>
    <row r="129" spans="1:72" ht="15.75" customHeight="1" x14ac:dyDescent="0.35">
      <c r="A129" s="86" t="s">
        <v>175</v>
      </c>
      <c r="B129" s="86"/>
      <c r="C129" s="86"/>
      <c r="D129" s="86"/>
      <c r="E129" s="86"/>
      <c r="F129" s="86"/>
      <c r="G129" s="92">
        <f t="shared" ref="G129:AL129" si="210">G102-G119-G125</f>
        <v>-98931.55</v>
      </c>
      <c r="H129" s="92">
        <f t="shared" si="210"/>
        <v>-68431.913166666665</v>
      </c>
      <c r="I129" s="92">
        <f t="shared" si="210"/>
        <v>-36994.097228333325</v>
      </c>
      <c r="J129" s="92">
        <f t="shared" si="210"/>
        <v>-4613.1468118499906</v>
      </c>
      <c r="K129" s="92">
        <f t="shared" si="210"/>
        <v>28739.23211712786</v>
      </c>
      <c r="L129" s="92">
        <f t="shared" si="210"/>
        <v>63092.18241397501</v>
      </c>
      <c r="M129" s="92">
        <f t="shared" si="210"/>
        <v>98475.721219727624</v>
      </c>
      <c r="N129" s="92">
        <f t="shared" si="210"/>
        <v>134920.76618965279</v>
      </c>
      <c r="O129" s="92">
        <f t="shared" si="210"/>
        <v>172459.16250867565</v>
      </c>
      <c r="P129" s="92">
        <f t="shared" si="210"/>
        <v>211123.71071726934</v>
      </c>
      <c r="Q129" s="92">
        <f t="shared" si="210"/>
        <v>250948.19537212071</v>
      </c>
      <c r="R129" s="92">
        <f t="shared" si="210"/>
        <v>291967.41456661763</v>
      </c>
      <c r="S129" s="92">
        <f t="shared" si="210"/>
        <v>333351.10003290133</v>
      </c>
      <c r="T129" s="92">
        <f t="shared" si="210"/>
        <v>392489.2829056562</v>
      </c>
      <c r="U129" s="92">
        <f t="shared" si="210"/>
        <v>453413.48840647476</v>
      </c>
      <c r="V129" s="92">
        <f t="shared" si="210"/>
        <v>516165.42007231782</v>
      </c>
      <c r="W129" s="92">
        <f t="shared" si="210"/>
        <v>580799.90968813631</v>
      </c>
      <c r="X129" s="92">
        <f t="shared" si="210"/>
        <v>647373.43399242917</v>
      </c>
      <c r="Y129" s="92">
        <f t="shared" si="210"/>
        <v>715944.16402585083</v>
      </c>
      <c r="Z129" s="92">
        <f t="shared" si="210"/>
        <v>786572.01596027543</v>
      </c>
      <c r="AA129" s="92">
        <f t="shared" si="210"/>
        <v>859318.70345273241</v>
      </c>
      <c r="AB129" s="92">
        <f t="shared" si="210"/>
        <v>934247.79156996333</v>
      </c>
      <c r="AC129" s="92">
        <f t="shared" si="210"/>
        <v>1011424.7523307109</v>
      </c>
      <c r="AD129" s="92">
        <f t="shared" si="210"/>
        <v>1090917.021914281</v>
      </c>
      <c r="AE129" s="92">
        <f t="shared" si="210"/>
        <v>1182615.3470408681</v>
      </c>
      <c r="AF129" s="92">
        <f t="shared" si="210"/>
        <v>1289039.189005906</v>
      </c>
      <c r="AG129" s="92">
        <f t="shared" si="210"/>
        <v>1398672.5424474783</v>
      </c>
      <c r="AH129" s="92">
        <f t="shared" si="210"/>
        <v>1511594.8964922978</v>
      </c>
      <c r="AI129" s="92">
        <f t="shared" si="210"/>
        <v>1627904.9211584618</v>
      </c>
      <c r="AJ129" s="92">
        <f t="shared" si="210"/>
        <v>1747704.2465646111</v>
      </c>
      <c r="AK129" s="92">
        <f t="shared" si="210"/>
        <v>1871097.5517329441</v>
      </c>
      <c r="AL129" s="92">
        <f t="shared" si="210"/>
        <v>1998192.656056328</v>
      </c>
      <c r="AM129" s="92">
        <f t="shared" ref="AM129:BN129" si="211">AM102-AM119-AM125</f>
        <v>2129100.6135094129</v>
      </c>
      <c r="AN129" s="92">
        <f t="shared" si="211"/>
        <v>2263935.8096860913</v>
      </c>
      <c r="AO129" s="92">
        <f t="shared" si="211"/>
        <v>2402816.0617480688</v>
      </c>
      <c r="AP129" s="92">
        <f t="shared" si="211"/>
        <v>2545862.7213719059</v>
      </c>
      <c r="AQ129" s="92">
        <f t="shared" si="211"/>
        <v>2550274.5281150863</v>
      </c>
      <c r="AR129" s="92">
        <f t="shared" si="211"/>
        <v>2717683.1109249117</v>
      </c>
      <c r="AS129" s="92">
        <f t="shared" si="211"/>
        <v>2890132.9816872338</v>
      </c>
      <c r="AT129" s="92">
        <f t="shared" si="211"/>
        <v>3067756.3485724246</v>
      </c>
      <c r="AU129" s="92">
        <f t="shared" si="211"/>
        <v>3250708.4164641723</v>
      </c>
      <c r="AV129" s="92">
        <f t="shared" si="211"/>
        <v>3439149.0463926727</v>
      </c>
      <c r="AW129" s="92">
        <f t="shared" si="211"/>
        <v>3633242.8952190271</v>
      </c>
      <c r="AX129" s="92">
        <f t="shared" si="211"/>
        <v>3833159.5595101723</v>
      </c>
      <c r="AY129" s="92">
        <f t="shared" si="211"/>
        <v>4039073.7237300528</v>
      </c>
      <c r="AZ129" s="92">
        <f t="shared" si="211"/>
        <v>4251165.3128765309</v>
      </c>
      <c r="BA129" s="92">
        <f t="shared" si="211"/>
        <v>4469619.6496974006</v>
      </c>
      <c r="BB129" s="92">
        <f t="shared" si="211"/>
        <v>4694627.6166228978</v>
      </c>
      <c r="BC129" s="92">
        <f t="shared" si="211"/>
        <v>4938870.9930230742</v>
      </c>
      <c r="BD129" s="92">
        <f t="shared" si="211"/>
        <v>5205371.2660137303</v>
      </c>
      <c r="BE129" s="92">
        <f t="shared" si="211"/>
        <v>5479888.8609416774</v>
      </c>
      <c r="BF129" s="92">
        <f t="shared" si="211"/>
        <v>5762641.9837174658</v>
      </c>
      <c r="BG129" s="92">
        <f t="shared" si="211"/>
        <v>6053877.7001765277</v>
      </c>
      <c r="BH129" s="92">
        <f t="shared" si="211"/>
        <v>6353850.4881293597</v>
      </c>
      <c r="BI129" s="92">
        <f t="shared" si="211"/>
        <v>6662822.4597207773</v>
      </c>
      <c r="BJ129" s="92">
        <f t="shared" si="211"/>
        <v>6981063.5904599372</v>
      </c>
      <c r="BK129" s="92">
        <f t="shared" si="211"/>
        <v>7308851.9551212685</v>
      </c>
      <c r="BL129" s="92">
        <f t="shared" si="211"/>
        <v>7646473.9707224434</v>
      </c>
      <c r="BM129" s="92">
        <f t="shared" si="211"/>
        <v>7994224.6467916537</v>
      </c>
      <c r="BN129" s="92">
        <f t="shared" si="211"/>
        <v>8352695.2263302198</v>
      </c>
      <c r="BO129" s="20"/>
      <c r="BP129" s="92">
        <f>BP102-BP119-BP125</f>
        <v>-1139466.2184737539</v>
      </c>
      <c r="BQ129" s="92">
        <f>BQ102-BQ119-BQ125</f>
        <v>-478882.46248576546</v>
      </c>
      <c r="BR129" s="92">
        <f>BR102-BR119-BR125</f>
        <v>628336.28605640586</v>
      </c>
      <c r="BS129" s="92">
        <f>BS102-BS119-BS125</f>
        <v>2463122.4652920254</v>
      </c>
      <c r="BT129" s="92">
        <f>BT102-BT119-BT125</f>
        <v>5691040.1701506767</v>
      </c>
    </row>
    <row r="130" spans="1:72" ht="15.75" customHeight="1" x14ac:dyDescent="0.35">
      <c r="A130" s="20"/>
      <c r="B130" s="71" t="s">
        <v>176</v>
      </c>
      <c r="C130" s="20"/>
      <c r="D130" s="20"/>
      <c r="E130" s="20"/>
      <c r="F130" s="20"/>
      <c r="G130" s="88" t="str">
        <f t="shared" ref="G130:AL130" si="212">+IFERROR(G129/F129,"-")</f>
        <v>-</v>
      </c>
      <c r="H130" s="88">
        <f t="shared" si="212"/>
        <v>0.69170970399904441</v>
      </c>
      <c r="I130" s="88">
        <f t="shared" si="212"/>
        <v>0.54059715002025155</v>
      </c>
      <c r="J130" s="88">
        <f t="shared" si="212"/>
        <v>0.12469953742557713</v>
      </c>
      <c r="K130" s="88">
        <f t="shared" si="212"/>
        <v>-6.2298542164979764</v>
      </c>
      <c r="L130" s="88">
        <f t="shared" si="212"/>
        <v>2.1953329217997322</v>
      </c>
      <c r="M130" s="88">
        <f t="shared" si="212"/>
        <v>1.5608228698380722</v>
      </c>
      <c r="N130" s="88">
        <f t="shared" si="212"/>
        <v>1.3700916786240722</v>
      </c>
      <c r="O130" s="88">
        <f t="shared" si="212"/>
        <v>1.2782254902574199</v>
      </c>
      <c r="P130" s="88">
        <f t="shared" si="212"/>
        <v>1.2241953842646582</v>
      </c>
      <c r="Q130" s="88">
        <f t="shared" si="212"/>
        <v>1.1886310377908389</v>
      </c>
      <c r="R130" s="88">
        <f t="shared" si="212"/>
        <v>1.1634569203961447</v>
      </c>
      <c r="S130" s="88">
        <f t="shared" si="212"/>
        <v>1.1417407676391274</v>
      </c>
      <c r="T130" s="88">
        <f t="shared" si="212"/>
        <v>1.1774050929093021</v>
      </c>
      <c r="U130" s="88">
        <f t="shared" si="212"/>
        <v>1.1552251441104013</v>
      </c>
      <c r="V130" s="88">
        <f t="shared" si="212"/>
        <v>1.1383989079954044</v>
      </c>
      <c r="W130" s="88">
        <f t="shared" si="212"/>
        <v>1.1252204954116507</v>
      </c>
      <c r="X130" s="88">
        <f t="shared" si="212"/>
        <v>1.1146238544355833</v>
      </c>
      <c r="Y130" s="88">
        <f t="shared" si="212"/>
        <v>1.1059214456956286</v>
      </c>
      <c r="Z130" s="88">
        <f t="shared" si="212"/>
        <v>1.0986499443438085</v>
      </c>
      <c r="AA130" s="88">
        <f t="shared" si="212"/>
        <v>1.0924857305070093</v>
      </c>
      <c r="AB130" s="88">
        <f t="shared" si="212"/>
        <v>1.0871959237197639</v>
      </c>
      <c r="AC130" s="88">
        <f t="shared" si="212"/>
        <v>1.0826086627735614</v>
      </c>
      <c r="AD130" s="88">
        <f t="shared" si="212"/>
        <v>1.0785943486160383</v>
      </c>
      <c r="AE130" s="88">
        <f t="shared" si="212"/>
        <v>1.0840561869368213</v>
      </c>
      <c r="AF130" s="88">
        <f t="shared" si="212"/>
        <v>1.0899902425850729</v>
      </c>
      <c r="AG130" s="88">
        <f t="shared" si="212"/>
        <v>1.0850504425130165</v>
      </c>
      <c r="AH130" s="88">
        <f t="shared" si="212"/>
        <v>1.0807353763070386</v>
      </c>
      <c r="AI130" s="88">
        <f t="shared" si="212"/>
        <v>1.076945235086507</v>
      </c>
      <c r="AJ130" s="88">
        <f t="shared" si="212"/>
        <v>1.073591107102801</v>
      </c>
      <c r="AK130" s="88">
        <f t="shared" si="212"/>
        <v>1.0706030813914209</v>
      </c>
      <c r="AL130" s="88">
        <f t="shared" si="212"/>
        <v>1.0679254292250411</v>
      </c>
      <c r="AM130" s="88">
        <f t="shared" ref="AM130:BN130" si="213">+IFERROR(AM129/AL129,"-")</f>
        <v>1.0655131811521354</v>
      </c>
      <c r="AN130" s="88">
        <f t="shared" si="213"/>
        <v>1.0633296497690772</v>
      </c>
      <c r="AO130" s="88">
        <f t="shared" si="213"/>
        <v>1.0613446067983854</v>
      </c>
      <c r="AP130" s="88">
        <f t="shared" si="213"/>
        <v>1.0595329213505296</v>
      </c>
      <c r="AQ130" s="88">
        <f t="shared" si="213"/>
        <v>1.0017329319079715</v>
      </c>
      <c r="AR130" s="88">
        <f t="shared" si="213"/>
        <v>1.0656433575931754</v>
      </c>
      <c r="AS130" s="88">
        <f t="shared" si="213"/>
        <v>1.0634547383648538</v>
      </c>
      <c r="AT130" s="88">
        <f t="shared" si="213"/>
        <v>1.061458544645062</v>
      </c>
      <c r="AU130" s="88">
        <f t="shared" si="213"/>
        <v>1.0596370920972535</v>
      </c>
      <c r="AV130" s="88">
        <f t="shared" si="213"/>
        <v>1.0579690965126516</v>
      </c>
      <c r="AW130" s="88">
        <f t="shared" si="213"/>
        <v>1.0564365912055889</v>
      </c>
      <c r="AX130" s="88">
        <f t="shared" si="213"/>
        <v>1.0550243047483048</v>
      </c>
      <c r="AY130" s="88">
        <f t="shared" si="213"/>
        <v>1.0537191737059319</v>
      </c>
      <c r="AZ130" s="88">
        <f t="shared" si="213"/>
        <v>1.0525099573945418</v>
      </c>
      <c r="BA130" s="88">
        <f t="shared" si="213"/>
        <v>1.051386930580936</v>
      </c>
      <c r="BB130" s="88">
        <f t="shared" si="213"/>
        <v>1.0503416363270934</v>
      </c>
      <c r="BC130" s="88">
        <f t="shared" si="213"/>
        <v>1.0520261448502009</v>
      </c>
      <c r="BD130" s="88">
        <f t="shared" si="213"/>
        <v>1.0539597558565772</v>
      </c>
      <c r="BE130" s="88">
        <f t="shared" si="213"/>
        <v>1.0527373708615739</v>
      </c>
      <c r="BF130" s="88">
        <f t="shared" si="213"/>
        <v>1.0515983316360908</v>
      </c>
      <c r="BG130" s="88">
        <f t="shared" si="213"/>
        <v>1.0505385754107157</v>
      </c>
      <c r="BH130" s="88">
        <f t="shared" si="213"/>
        <v>1.0495505199822728</v>
      </c>
      <c r="BI130" s="88">
        <f t="shared" si="213"/>
        <v>1.0486275168370198</v>
      </c>
      <c r="BJ130" s="88">
        <f t="shared" si="213"/>
        <v>1.0477637116496867</v>
      </c>
      <c r="BK130" s="88">
        <f t="shared" si="213"/>
        <v>1.0469539290702459</v>
      </c>
      <c r="BL130" s="88">
        <f t="shared" si="213"/>
        <v>1.0461935770041977</v>
      </c>
      <c r="BM130" s="88">
        <f t="shared" si="213"/>
        <v>1.045478566644013</v>
      </c>
      <c r="BN130" s="88">
        <f t="shared" si="213"/>
        <v>1.0448411941591398</v>
      </c>
      <c r="BO130" s="20"/>
      <c r="BP130" s="20"/>
      <c r="BQ130" s="20"/>
      <c r="BR130" s="20"/>
      <c r="BS130" s="20"/>
      <c r="BT130" s="20"/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9"/>
  <sheetViews>
    <sheetView zoomScaleNormal="100" workbookViewId="0">
      <selection activeCell="M28" sqref="M28"/>
    </sheetView>
  </sheetViews>
  <sheetFormatPr defaultColWidth="14.42578125" defaultRowHeight="15" customHeight="1" outlineLevelRow="1" x14ac:dyDescent="0.25"/>
  <cols>
    <col min="1" max="1" width="46.42578125" customWidth="1"/>
    <col min="2" max="5" width="14.5703125" customWidth="1"/>
    <col min="6" max="6" width="15" customWidth="1"/>
    <col min="7" max="7" width="18.85546875" customWidth="1"/>
  </cols>
  <sheetData>
    <row r="1" spans="1:7" ht="18" customHeight="1" x14ac:dyDescent="0.35">
      <c r="A1" s="27" t="s">
        <v>177</v>
      </c>
    </row>
    <row r="2" spans="1:7" ht="18" customHeight="1" x14ac:dyDescent="0.35">
      <c r="A2" s="18" t="s">
        <v>178</v>
      </c>
      <c r="B2" s="18"/>
      <c r="C2" s="18"/>
      <c r="D2" s="18"/>
      <c r="E2" s="18"/>
      <c r="F2" s="18"/>
      <c r="G2" s="18"/>
    </row>
    <row r="3" spans="1:7" ht="15" customHeight="1" x14ac:dyDescent="0.25">
      <c r="A3" s="54"/>
      <c r="B3" s="54"/>
      <c r="C3" s="54"/>
      <c r="D3" s="54"/>
      <c r="E3" s="54"/>
      <c r="F3" s="54"/>
    </row>
    <row r="4" spans="1:7" ht="18" customHeight="1" x14ac:dyDescent="0.35">
      <c r="A4" s="54"/>
      <c r="C4" s="86" t="s">
        <v>179</v>
      </c>
      <c r="D4" s="86" t="s">
        <v>129</v>
      </c>
      <c r="E4" s="86" t="s">
        <v>130</v>
      </c>
      <c r="F4" s="86" t="s">
        <v>131</v>
      </c>
      <c r="G4" s="86" t="s">
        <v>132</v>
      </c>
    </row>
    <row r="5" spans="1:7" ht="18" customHeight="1" x14ac:dyDescent="0.35">
      <c r="A5" s="18" t="s">
        <v>180</v>
      </c>
      <c r="B5" s="18"/>
      <c r="C5" s="93">
        <f>'5.Projeção Financeira'!BP61</f>
        <v>446164.29467915185</v>
      </c>
      <c r="D5" s="93">
        <f>'5.Projeção Financeira'!BQ61</f>
        <v>1249874.3984998595</v>
      </c>
      <c r="E5" s="93">
        <f>'5.Projeção Financeira'!BR61</f>
        <v>2805786.8037228324</v>
      </c>
      <c r="F5" s="93">
        <f>'5.Projeção Financeira'!BS61</f>
        <v>5390282.7851508055</v>
      </c>
      <c r="G5" s="93">
        <f>'5.Projeção Financeira'!BT61</f>
        <v>9504461.6928311978</v>
      </c>
    </row>
    <row r="6" spans="1:7" ht="18" customHeight="1" outlineLevel="1" x14ac:dyDescent="0.35">
      <c r="A6" s="20" t="s">
        <v>181</v>
      </c>
      <c r="C6" s="66">
        <f>IF('1.Premissas Receitas'!B8=1,0.18,IF('1.Premissas Receitas'!B8=2,0.05,IF('1.Premissas Receitas'!B8=1,0.1,0.1)))*C5</f>
        <v>22308.214733957593</v>
      </c>
      <c r="D6" s="66">
        <f>IF('1.Premissas Receitas'!C8=1,0.18,IF('1.Premissas Receitas'!C8=2,0.05,IF('1.Premissas Receitas'!C8=1,0.1,0.1)))*D5</f>
        <v>62493.719924992976</v>
      </c>
      <c r="E6" s="66">
        <f>IF('1.Premissas Receitas'!D8=1,0.18,IF('1.Premissas Receitas'!D8=2,0.05,IF('1.Premissas Receitas'!D8=1,0.1,0.1)))*E5</f>
        <v>140289.34018614164</v>
      </c>
      <c r="F6" s="66">
        <f>IF('1.Premissas Receitas'!E8=1,0.18,IF('1.Premissas Receitas'!E8=2,0.05,IF('1.Premissas Receitas'!E8=1,0.1,0.1)))*F5</f>
        <v>539028.27851508057</v>
      </c>
      <c r="G6" s="66">
        <f>IF('1.Premissas Receitas'!F8=1,0.18,IF('1.Premissas Receitas'!F8=2,0.05,IF('1.Premissas Receitas'!F8=1,0.1,0.1)))*G5</f>
        <v>950446.16928311985</v>
      </c>
    </row>
    <row r="7" spans="1:7" ht="18" customHeight="1" outlineLevel="1" x14ac:dyDescent="0.35">
      <c r="A7" s="18" t="s">
        <v>182</v>
      </c>
      <c r="B7" s="18"/>
      <c r="C7" s="93">
        <f>C5-C6</f>
        <v>423856.07994519424</v>
      </c>
      <c r="D7" s="93">
        <f>D5-D6</f>
        <v>1187380.6785748666</v>
      </c>
      <c r="E7" s="93">
        <f>E5-E6</f>
        <v>2665497.4635366909</v>
      </c>
      <c r="F7" s="93">
        <f>F5-F6</f>
        <v>4851254.5066357246</v>
      </c>
      <c r="G7" s="93">
        <f>G5-G6</f>
        <v>8554015.5235480778</v>
      </c>
    </row>
    <row r="8" spans="1:7" ht="18" customHeight="1" outlineLevel="1" x14ac:dyDescent="0.35">
      <c r="A8" s="20" t="s">
        <v>183</v>
      </c>
      <c r="C8" s="66">
        <f>'5.Projeção Financeira'!BP100</f>
        <v>113030.05410461947</v>
      </c>
      <c r="D8" s="66">
        <f>'5.Projeção Financeira'!BQ100</f>
        <v>203609.74108116768</v>
      </c>
      <c r="E8" s="66">
        <f>'5.Projeção Financeira'!BR100</f>
        <v>394170.63499191531</v>
      </c>
      <c r="F8" s="66">
        <f>'5.Projeção Financeira'!BS100</f>
        <v>654749.21256092552</v>
      </c>
      <c r="G8" s="66">
        <f>'5.Projeção Financeira'!BT100</f>
        <v>1042274.9423855416</v>
      </c>
    </row>
    <row r="9" spans="1:7" ht="18" customHeight="1" outlineLevel="1" x14ac:dyDescent="0.35">
      <c r="A9" s="20" t="s">
        <v>184</v>
      </c>
      <c r="C9" s="66">
        <f>'5.Projeção Financeira'!BP119</f>
        <v>1257996</v>
      </c>
      <c r="D9" s="66">
        <f>'5.Projeção Financeira'!BQ119</f>
        <v>1268479.2999999998</v>
      </c>
      <c r="E9" s="66">
        <f>'5.Projeção Financeira'!BR119</f>
        <v>1446695.4</v>
      </c>
      <c r="F9" s="66">
        <f>'5.Projeção Financeira'!BS119</f>
        <v>1534755.12</v>
      </c>
      <c r="G9" s="66">
        <f>'5.Projeção Financeira'!BT119</f>
        <v>1619669.8499999999</v>
      </c>
    </row>
    <row r="10" spans="1:7" ht="18" customHeight="1" outlineLevel="1" x14ac:dyDescent="0.35">
      <c r="A10" s="20" t="s">
        <v>184</v>
      </c>
      <c r="C10" s="66">
        <f>'5.Projeção Financeira'!BP125</f>
        <v>192000</v>
      </c>
      <c r="D10" s="66">
        <f>'5.Projeção Financeira'!BQ125</f>
        <v>193600</v>
      </c>
      <c r="E10" s="66">
        <f>'5.Projeção Financeira'!BR125</f>
        <v>195200</v>
      </c>
      <c r="F10" s="66">
        <f>'5.Projeção Financeira'!BS125</f>
        <v>196800</v>
      </c>
      <c r="G10" s="66">
        <f>'5.Projeção Financeira'!BT125</f>
        <v>198400</v>
      </c>
    </row>
    <row r="11" spans="1:7" ht="18" customHeight="1" outlineLevel="1" x14ac:dyDescent="0.35">
      <c r="A11" s="20" t="s">
        <v>185</v>
      </c>
      <c r="C11" s="66">
        <f>C7-C9-C8-C10</f>
        <v>-1139169.9741594251</v>
      </c>
      <c r="D11" s="66">
        <f>D7-D9-D8-D10</f>
        <v>-478308.36250630091</v>
      </c>
      <c r="E11" s="66">
        <f>E7-E9-E8-E10</f>
        <v>629431.4285447757</v>
      </c>
      <c r="F11" s="66">
        <f>F7-F9-F8-F10</f>
        <v>2464950.1740747988</v>
      </c>
      <c r="G11" s="66">
        <f>G7-G9-G8-G10</f>
        <v>5693670.7311625369</v>
      </c>
    </row>
    <row r="12" spans="1:7" ht="18" customHeight="1" outlineLevel="1" x14ac:dyDescent="0.35">
      <c r="A12" s="20" t="s">
        <v>186</v>
      </c>
      <c r="C12" s="66">
        <f>IF(C11&gt;0,C11*0.25,0)</f>
        <v>0</v>
      </c>
      <c r="D12" s="66">
        <f>IF(D11&gt;0,D11*0.25,0)</f>
        <v>0</v>
      </c>
      <c r="E12" s="66">
        <f>IF(E11&gt;0,E11*0.25,0)</f>
        <v>157357.85713619392</v>
      </c>
      <c r="F12" s="66">
        <f>IF(F11&gt;0,F11*0.25,0)</f>
        <v>616237.54351869971</v>
      </c>
      <c r="G12" s="66">
        <f>IF(G11&gt;0,G11*0.25,0)</f>
        <v>1423417.6827906342</v>
      </c>
    </row>
    <row r="13" spans="1:7" ht="18" customHeight="1" x14ac:dyDescent="0.35">
      <c r="A13" s="18" t="s">
        <v>187</v>
      </c>
      <c r="B13" s="18"/>
      <c r="C13" s="93">
        <f>C11-C12</f>
        <v>-1139169.9741594251</v>
      </c>
      <c r="D13" s="93">
        <f>D11-D12</f>
        <v>-478308.36250630091</v>
      </c>
      <c r="E13" s="93">
        <f>E11-E12</f>
        <v>472073.5714085818</v>
      </c>
      <c r="F13" s="93">
        <f>F11-F12</f>
        <v>1848712.6305560991</v>
      </c>
      <c r="G13" s="93">
        <f>G11-G12</f>
        <v>4270253.0483719027</v>
      </c>
    </row>
    <row r="14" spans="1:7" ht="15" customHeight="1" x14ac:dyDescent="0.25">
      <c r="A14" s="54"/>
      <c r="C14" s="54"/>
      <c r="D14" s="54"/>
      <c r="E14" s="54"/>
      <c r="F14" s="54"/>
      <c r="G14" s="54"/>
    </row>
    <row r="15" spans="1:7" ht="15" customHeight="1" x14ac:dyDescent="0.25">
      <c r="A15" s="54"/>
      <c r="C15" s="54"/>
      <c r="D15" s="54"/>
      <c r="E15" s="54"/>
      <c r="F15" s="54"/>
      <c r="G15" s="54"/>
    </row>
    <row r="16" spans="1:7" ht="18" customHeight="1" x14ac:dyDescent="0.35">
      <c r="A16" s="18" t="s">
        <v>188</v>
      </c>
      <c r="B16" s="18"/>
      <c r="C16" s="18"/>
      <c r="D16" s="18"/>
      <c r="E16" s="18"/>
      <c r="F16" s="18"/>
      <c r="G16" s="18"/>
    </row>
    <row r="17" spans="1:7" ht="18" customHeight="1" x14ac:dyDescent="0.35">
      <c r="A17" s="54"/>
      <c r="C17" s="86" t="s">
        <v>179</v>
      </c>
      <c r="D17" s="86" t="s">
        <v>129</v>
      </c>
      <c r="E17" s="86" t="s">
        <v>130</v>
      </c>
      <c r="F17" s="86" t="s">
        <v>131</v>
      </c>
      <c r="G17" s="86" t="s">
        <v>132</v>
      </c>
    </row>
    <row r="18" spans="1:7" ht="18" customHeight="1" x14ac:dyDescent="0.35">
      <c r="A18" s="18" t="s">
        <v>189</v>
      </c>
      <c r="B18" s="18"/>
      <c r="C18" s="93">
        <f>C5</f>
        <v>446164.29467915185</v>
      </c>
      <c r="D18" s="93">
        <f>D5</f>
        <v>1249874.3984998595</v>
      </c>
      <c r="E18" s="93">
        <f>E5</f>
        <v>2805786.8037228324</v>
      </c>
      <c r="F18" s="93">
        <f>F5</f>
        <v>5390282.7851508055</v>
      </c>
      <c r="G18" s="93">
        <f>G5</f>
        <v>9504461.6928311978</v>
      </c>
    </row>
    <row r="19" spans="1:7" ht="18" customHeight="1" x14ac:dyDescent="0.35">
      <c r="A19" s="20" t="s">
        <v>190</v>
      </c>
      <c r="C19" s="66">
        <f>C6+C9+C12+C8</f>
        <v>1393334.268838577</v>
      </c>
      <c r="D19" s="66">
        <f>D6+D9+D12+D8</f>
        <v>1534582.7610061604</v>
      </c>
      <c r="E19" s="66">
        <f>E6+E9+E12+E8</f>
        <v>2138513.2323142509</v>
      </c>
      <c r="F19" s="66">
        <f>F6+F9+F12+F8</f>
        <v>3344770.1545947059</v>
      </c>
      <c r="G19" s="66">
        <f>G6+G9+G12+G8</f>
        <v>5035808.6444592951</v>
      </c>
    </row>
    <row r="20" spans="1:7" ht="18" customHeight="1" x14ac:dyDescent="0.35">
      <c r="A20" s="20" t="s">
        <v>191</v>
      </c>
      <c r="C20" s="94"/>
      <c r="D20" s="94"/>
      <c r="E20" s="94"/>
      <c r="F20" s="94"/>
      <c r="G20" s="94"/>
    </row>
    <row r="21" spans="1:7" ht="18" customHeight="1" x14ac:dyDescent="0.35">
      <c r="A21" s="18" t="s">
        <v>192</v>
      </c>
      <c r="B21" s="18"/>
      <c r="C21" s="93">
        <f>C18-C19+C20</f>
        <v>-947169.97415942512</v>
      </c>
      <c r="D21" s="93">
        <f>D18-D19+D20</f>
        <v>-284708.36250630091</v>
      </c>
      <c r="E21" s="93">
        <f>E18-E19+E20</f>
        <v>667273.57140858145</v>
      </c>
      <c r="F21" s="93">
        <f>F18-F19+F20</f>
        <v>2045512.6305560996</v>
      </c>
      <c r="G21" s="93">
        <f>G18-G19+G20</f>
        <v>4468653.0483719027</v>
      </c>
    </row>
    <row r="22" spans="1:7" ht="15" customHeight="1" x14ac:dyDescent="0.25">
      <c r="A22" s="54"/>
      <c r="C22" s="54"/>
      <c r="D22" s="54"/>
      <c r="E22" s="54"/>
      <c r="F22" s="54"/>
      <c r="G22" s="54"/>
    </row>
    <row r="23" spans="1:7" ht="15" customHeight="1" x14ac:dyDescent="0.25">
      <c r="A23" s="54"/>
      <c r="C23" s="54"/>
      <c r="D23" s="54"/>
      <c r="E23" s="54"/>
      <c r="F23" s="54"/>
      <c r="G23" s="54"/>
    </row>
    <row r="24" spans="1:7" ht="15" customHeight="1" x14ac:dyDescent="0.25">
      <c r="A24" s="54"/>
      <c r="C24" s="54"/>
      <c r="D24" s="54"/>
      <c r="E24" s="54"/>
      <c r="F24" s="54"/>
      <c r="G24" s="54"/>
    </row>
    <row r="25" spans="1:7" ht="18" customHeight="1" x14ac:dyDescent="0.35">
      <c r="A25" s="18" t="s">
        <v>193</v>
      </c>
      <c r="B25" s="18"/>
      <c r="C25" s="18"/>
      <c r="D25" s="95">
        <f>IRR(B29:G29)</f>
        <v>0.47012889838859095</v>
      </c>
      <c r="E25" s="18" t="s">
        <v>194</v>
      </c>
      <c r="F25" s="18"/>
      <c r="G25" s="18"/>
    </row>
    <row r="27" spans="1:7" ht="18" customHeight="1" x14ac:dyDescent="0.35">
      <c r="A27" s="18" t="s">
        <v>195</v>
      </c>
      <c r="B27" s="18"/>
      <c r="C27" s="18"/>
      <c r="D27" s="18"/>
      <c r="E27" s="18"/>
      <c r="F27" s="18"/>
      <c r="G27" s="18"/>
    </row>
    <row r="28" spans="1:7" ht="18" customHeight="1" x14ac:dyDescent="0.35">
      <c r="A28" s="20" t="s">
        <v>196</v>
      </c>
      <c r="B28" s="86" t="s">
        <v>197</v>
      </c>
      <c r="C28" s="86" t="s">
        <v>179</v>
      </c>
      <c r="D28" s="86" t="s">
        <v>129</v>
      </c>
      <c r="E28" s="86" t="s">
        <v>130</v>
      </c>
      <c r="F28" s="86" t="s">
        <v>131</v>
      </c>
      <c r="G28" s="86" t="s">
        <v>132</v>
      </c>
    </row>
    <row r="29" spans="1:7" ht="18" customHeight="1" x14ac:dyDescent="0.35">
      <c r="A29" s="20" t="s">
        <v>192</v>
      </c>
      <c r="B29" s="66">
        <f>-'4.Premissas de Investimento'!B1</f>
        <v>-170000</v>
      </c>
      <c r="C29" s="66">
        <f>C13+C20</f>
        <v>-1139169.9741594251</v>
      </c>
      <c r="D29" s="66">
        <f>D13+D20</f>
        <v>-478308.36250630091</v>
      </c>
      <c r="E29" s="66">
        <f>E13+E20</f>
        <v>472073.5714085818</v>
      </c>
      <c r="F29" s="66">
        <f>F13+F20</f>
        <v>1848712.6305560991</v>
      </c>
      <c r="G29" s="96">
        <f>G13+G20</f>
        <v>4270253.0483719027</v>
      </c>
    </row>
  </sheetData>
  <pageMargins left="0" right="0" top="0" bottom="0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4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7" sqref="G7"/>
    </sheetView>
  </sheetViews>
  <sheetFormatPr defaultColWidth="8.7109375" defaultRowHeight="15" customHeight="1" x14ac:dyDescent="0.25"/>
  <cols>
    <col min="1" max="1" width="52" customWidth="1"/>
    <col min="2" max="6" width="16" customWidth="1"/>
    <col min="7" max="7" width="110.5703125" bestFit="1" customWidth="1"/>
  </cols>
  <sheetData>
    <row r="1" spans="1:7" ht="24.75" customHeight="1" x14ac:dyDescent="0.25">
      <c r="A1" s="119" t="s">
        <v>198</v>
      </c>
      <c r="B1" s="119"/>
      <c r="C1" s="119"/>
      <c r="D1" s="119"/>
      <c r="E1" s="119"/>
      <c r="F1" s="119"/>
      <c r="G1" s="119"/>
    </row>
    <row r="2" spans="1:7" x14ac:dyDescent="0.25">
      <c r="A2" s="120"/>
      <c r="B2" s="120"/>
      <c r="C2" s="120"/>
      <c r="D2" s="120"/>
      <c r="E2" s="120"/>
      <c r="F2" s="120"/>
      <c r="G2" s="120"/>
    </row>
    <row r="4" spans="1:7" ht="15" customHeight="1" x14ac:dyDescent="0.25">
      <c r="A4" s="97" t="s">
        <v>199</v>
      </c>
      <c r="B4" s="98" t="s">
        <v>113</v>
      </c>
      <c r="C4" s="98" t="s">
        <v>144</v>
      </c>
      <c r="D4" s="98" t="s">
        <v>145</v>
      </c>
      <c r="E4" s="98" t="s">
        <v>146</v>
      </c>
      <c r="F4" s="98" t="s">
        <v>147</v>
      </c>
      <c r="G4" s="97" t="s">
        <v>200</v>
      </c>
    </row>
    <row r="6" spans="1:7" ht="15" customHeight="1" x14ac:dyDescent="0.25">
      <c r="A6" s="99" t="s">
        <v>201</v>
      </c>
      <c r="B6" s="100"/>
      <c r="C6" s="100"/>
      <c r="D6" s="100"/>
      <c r="E6" s="100"/>
      <c r="F6" s="100"/>
      <c r="G6" s="100"/>
    </row>
    <row r="7" spans="1:7" ht="15" customHeight="1" x14ac:dyDescent="0.25">
      <c r="A7" s="101" t="s">
        <v>202</v>
      </c>
      <c r="B7" s="102">
        <f>'5.Projeção Financeira'!BP61</f>
        <v>446164.29467915185</v>
      </c>
      <c r="C7" s="102">
        <f>'5.Projeção Financeira'!BQ61</f>
        <v>1249874.3984998595</v>
      </c>
      <c r="D7" s="102">
        <f>'5.Projeção Financeira'!BR61</f>
        <v>2805786.8037228324</v>
      </c>
      <c r="E7" s="102">
        <f>'5.Projeção Financeira'!BS61</f>
        <v>5390282.7851508055</v>
      </c>
      <c r="F7" s="102">
        <f>'5.Projeção Financeira'!BT61</f>
        <v>9504461.6928311978</v>
      </c>
      <c r="G7" s="103" t="s">
        <v>203</v>
      </c>
    </row>
    <row r="8" spans="1:7" ht="15" customHeight="1" x14ac:dyDescent="0.25">
      <c r="A8" s="101" t="s">
        <v>204</v>
      </c>
      <c r="B8" s="102">
        <f>'5.Projeção Financeira'!BP107+'5.Projeção Financeira'!BP108</f>
        <v>315996</v>
      </c>
      <c r="C8" s="102">
        <f>'5.Projeção Financeira'!BQ107+'5.Projeção Financeira'!BQ108</f>
        <v>318629.29999999993</v>
      </c>
      <c r="D8" s="102">
        <f>'5.Projeção Financeira'!BR107+'5.Projeção Financeira'!BR108</f>
        <v>363395.4</v>
      </c>
      <c r="E8" s="102">
        <f>'5.Projeção Financeira'!BS107+'5.Projeção Financeira'!BS108</f>
        <v>385515.12000000005</v>
      </c>
      <c r="F8" s="102">
        <f>'5.Projeção Financeira'!BT107+'5.Projeção Financeira'!BT108</f>
        <v>406844.84999999992</v>
      </c>
      <c r="G8" s="103" t="s">
        <v>205</v>
      </c>
    </row>
    <row r="9" spans="1:7" ht="15" customHeight="1" x14ac:dyDescent="0.25">
      <c r="A9" s="101" t="s">
        <v>206</v>
      </c>
      <c r="B9" s="104">
        <f>'5.Projeção Financeira'!BP27</f>
        <v>66.229471287183387</v>
      </c>
      <c r="C9" s="104">
        <f>'5.Projeção Financeira'!BQ27</f>
        <v>119.30424706551489</v>
      </c>
      <c r="D9" s="104">
        <f>'5.Projeção Financeira'!BR27</f>
        <v>230.96257857476309</v>
      </c>
      <c r="E9" s="104">
        <f>'5.Projeção Financeira'!BS27</f>
        <v>383.64746895965175</v>
      </c>
      <c r="F9" s="104">
        <f>'5.Projeção Financeira'!BT27</f>
        <v>610.71649409440374</v>
      </c>
      <c r="G9" s="103" t="s">
        <v>207</v>
      </c>
    </row>
    <row r="10" spans="1:7" ht="15" customHeight="1" x14ac:dyDescent="0.25">
      <c r="A10" s="101" t="s">
        <v>208</v>
      </c>
      <c r="B10" s="102">
        <f>'5.Projeção Financeira'!BP100</f>
        <v>113030.05410461947</v>
      </c>
      <c r="C10" s="102">
        <f>'5.Projeção Financeira'!BQ100</f>
        <v>203609.74108116768</v>
      </c>
      <c r="D10" s="102">
        <f>'5.Projeção Financeira'!BR100</f>
        <v>394170.63499191531</v>
      </c>
      <c r="E10" s="102">
        <f>'5.Projeção Financeira'!BS100</f>
        <v>654749.21256092552</v>
      </c>
      <c r="F10" s="102">
        <f>'5.Projeção Financeira'!BT100</f>
        <v>1042274.9423855416</v>
      </c>
      <c r="G10" s="103" t="s">
        <v>209</v>
      </c>
    </row>
    <row r="12" spans="1:7" ht="15" customHeight="1" x14ac:dyDescent="0.25">
      <c r="A12" s="99" t="s">
        <v>210</v>
      </c>
      <c r="B12" s="100"/>
      <c r="C12" s="100"/>
      <c r="D12" s="100"/>
      <c r="E12" s="100"/>
      <c r="F12" s="100"/>
      <c r="G12" s="100"/>
    </row>
    <row r="13" spans="1:7" ht="15" customHeight="1" x14ac:dyDescent="0.25">
      <c r="A13" s="101" t="s">
        <v>211</v>
      </c>
      <c r="B13" s="105">
        <v>0.03</v>
      </c>
      <c r="G13" s="103" t="s">
        <v>212</v>
      </c>
    </row>
    <row r="14" spans="1:7" ht="15" customHeight="1" x14ac:dyDescent="0.25">
      <c r="A14" s="101" t="s">
        <v>213</v>
      </c>
      <c r="B14" s="106">
        <v>12</v>
      </c>
      <c r="G14" s="103" t="s">
        <v>214</v>
      </c>
    </row>
    <row r="15" spans="1:7" ht="15" customHeight="1" x14ac:dyDescent="0.25">
      <c r="A15" s="101" t="s">
        <v>215</v>
      </c>
      <c r="B15" s="107">
        <v>0.7</v>
      </c>
      <c r="G15" s="103" t="s">
        <v>216</v>
      </c>
    </row>
    <row r="17" spans="1:7" ht="15" customHeight="1" x14ac:dyDescent="0.25">
      <c r="A17" s="99" t="s">
        <v>217</v>
      </c>
      <c r="B17" s="100"/>
      <c r="C17" s="100"/>
      <c r="D17" s="100"/>
      <c r="E17" s="100"/>
      <c r="F17" s="100"/>
      <c r="G17" s="100"/>
    </row>
    <row r="18" spans="1:7" ht="15" customHeight="1" x14ac:dyDescent="0.25">
      <c r="A18" s="97" t="s">
        <v>218</v>
      </c>
      <c r="B18" s="2">
        <f>IF(B9&lt;=0,0,(B8*$B$15)/B9)</f>
        <v>3339.8605741671636</v>
      </c>
      <c r="C18" s="2">
        <f>IF(C9&lt;=0,0,(C8*$B$15)/C9)</f>
        <v>1869.5102268867192</v>
      </c>
      <c r="D18" s="2">
        <f>IF(D9&lt;=0,0,(D8*$B$15)/D9)</f>
        <v>1101.3766020873277</v>
      </c>
      <c r="E18" s="2">
        <f>IF(E9&lt;=0,0,(E8*$B$15)/E9)</f>
        <v>703.40770064713058</v>
      </c>
      <c r="F18" s="2">
        <f>IF(F9&lt;=0,0,(F8*$B$15)/F9)</f>
        <v>466.3234049741863</v>
      </c>
      <c r="G18" s="103" t="s">
        <v>219</v>
      </c>
    </row>
    <row r="20" spans="1:7" ht="26.25" customHeight="1" x14ac:dyDescent="0.25">
      <c r="A20" s="99" t="s">
        <v>220</v>
      </c>
      <c r="B20" s="100"/>
      <c r="C20" s="100"/>
      <c r="D20" s="100"/>
      <c r="E20" s="100"/>
      <c r="F20" s="100"/>
      <c r="G20" s="100"/>
    </row>
    <row r="21" spans="1:7" ht="15" customHeight="1" x14ac:dyDescent="0.25">
      <c r="A21" s="101" t="s">
        <v>221</v>
      </c>
      <c r="B21" s="108">
        <f>'5.Projeção Financeira'!BP27-ABS('5.Projeção Financeira'!BP36)</f>
        <v>65.461003545734499</v>
      </c>
      <c r="C21" s="108">
        <f>B21+'5.Projeção Financeira'!BQ27-ABS('5.Projeção Financeira'!BQ36)</f>
        <v>183.27601590446764</v>
      </c>
      <c r="D21" s="108">
        <f>C21+'5.Projeção Financeira'!BR27-ABS('5.Projeção Financeira'!BR36)</f>
        <v>411.3977579335251</v>
      </c>
      <c r="E21" s="108">
        <f>D21+'5.Projeção Financeira'!BS27-ABS('5.Projeção Financeira'!BS36)</f>
        <v>790.3040886758655</v>
      </c>
      <c r="F21" s="108">
        <f>E21+'5.Projeção Financeira'!BT27-ABS('5.Projeção Financeira'!BT36)</f>
        <v>1394.1968187965726</v>
      </c>
      <c r="G21" s="103" t="s">
        <v>222</v>
      </c>
    </row>
    <row r="22" spans="1:7" ht="15" customHeight="1" x14ac:dyDescent="0.25">
      <c r="A22" s="101" t="s">
        <v>223</v>
      </c>
      <c r="B22" s="108">
        <f>B21/2</f>
        <v>32.73050177286725</v>
      </c>
      <c r="C22" s="108">
        <f>(B21+C21)/2</f>
        <v>124.36850972510106</v>
      </c>
      <c r="D22" s="108">
        <f>(C21+D21)/2</f>
        <v>297.33688691899636</v>
      </c>
      <c r="E22" s="108">
        <f>(D21+E21)/2</f>
        <v>600.85092330469524</v>
      </c>
      <c r="F22" s="108">
        <f>(E21+F21)/2</f>
        <v>1092.250453736219</v>
      </c>
      <c r="G22" s="103" t="s">
        <v>224</v>
      </c>
    </row>
    <row r="23" spans="1:7" ht="15" customHeight="1" x14ac:dyDescent="0.25">
      <c r="A23" s="97" t="s">
        <v>225</v>
      </c>
      <c r="B23" s="4">
        <f>IF(B22&lt;=0,0,B7/B22)</f>
        <v>13631.452941824762</v>
      </c>
      <c r="C23" s="4">
        <f>IF(C22&lt;=0,0,C7/C22)</f>
        <v>10049.765823057054</v>
      </c>
      <c r="D23" s="4">
        <f>IF(D22&lt;=0,0,D7/D22)</f>
        <v>9436.389923888637</v>
      </c>
      <c r="E23" s="4">
        <f>IF(E22&lt;=0,0,E7/E22)</f>
        <v>8971.0818042920091</v>
      </c>
      <c r="F23" s="4">
        <f>IF(F22&lt;=0,0,F7/F22)</f>
        <v>8701.7237304133432</v>
      </c>
      <c r="G23" s="103" t="s">
        <v>226</v>
      </c>
    </row>
    <row r="24" spans="1:7" ht="15" customHeight="1" x14ac:dyDescent="0.25">
      <c r="A24" s="101" t="s">
        <v>227</v>
      </c>
      <c r="B24" s="2">
        <f>B23/12</f>
        <v>1135.9544118187303</v>
      </c>
      <c r="C24" s="2">
        <f>C23/12</f>
        <v>837.48048525475451</v>
      </c>
      <c r="D24" s="2">
        <f>D23/12</f>
        <v>786.36582699071971</v>
      </c>
      <c r="E24" s="2">
        <f>E23/12</f>
        <v>747.59015035766743</v>
      </c>
      <c r="F24" s="2">
        <f>F23/12</f>
        <v>725.1436442011119</v>
      </c>
    </row>
    <row r="25" spans="1:7" ht="15" customHeight="1" x14ac:dyDescent="0.25">
      <c r="A25" s="101" t="s">
        <v>228</v>
      </c>
      <c r="B25" s="109">
        <f>IF(B7&lt;=0,0,(B7-B10)/B7)</f>
        <v>0.74666270821625857</v>
      </c>
      <c r="C25" s="109">
        <f>IF(C7&lt;=0,0,(C7-C10)/C7)</f>
        <v>0.83709583832939782</v>
      </c>
      <c r="D25" s="109">
        <f>IF(D7&lt;=0,0,(D7-D10)/D7)</f>
        <v>0.85951511552163773</v>
      </c>
      <c r="E25" s="109">
        <f>IF(E7&lt;=0,0,(E7-E10)/E7)</f>
        <v>0.87853156528918408</v>
      </c>
      <c r="F25" s="109">
        <f>IF(F7&lt;=0,0,(F7-F10)/F7)</f>
        <v>0.89033835096924174</v>
      </c>
      <c r="G25" s="103" t="s">
        <v>229</v>
      </c>
    </row>
    <row r="27" spans="1:7" ht="15" customHeight="1" x14ac:dyDescent="0.25">
      <c r="A27" s="99" t="s">
        <v>230</v>
      </c>
      <c r="B27" s="100"/>
      <c r="C27" s="100"/>
      <c r="D27" s="100"/>
      <c r="E27" s="100"/>
      <c r="F27" s="100"/>
      <c r="G27" s="100"/>
    </row>
    <row r="28" spans="1:7" ht="15" customHeight="1" x14ac:dyDescent="0.25">
      <c r="A28" s="101" t="s">
        <v>231</v>
      </c>
      <c r="B28" s="108">
        <f>IF($B$13&lt;=0,0,1/$B$13)</f>
        <v>33.333333333333336</v>
      </c>
      <c r="C28" s="108">
        <f>IF($B$13&lt;=0,0,1/$B$13)</f>
        <v>33.333333333333336</v>
      </c>
      <c r="D28" s="108">
        <f>IF($B$13&lt;=0,0,1/$B$13)</f>
        <v>33.333333333333336</v>
      </c>
      <c r="E28" s="108">
        <f>IF($B$13&lt;=0,0,1/$B$13)</f>
        <v>33.333333333333336</v>
      </c>
      <c r="F28" s="108">
        <f>IF($B$13&lt;=0,0,1/$B$13)</f>
        <v>33.333333333333336</v>
      </c>
      <c r="G28" s="103" t="s">
        <v>232</v>
      </c>
    </row>
    <row r="29" spans="1:7" ht="15" customHeight="1" x14ac:dyDescent="0.25">
      <c r="A29" s="97" t="s">
        <v>233</v>
      </c>
      <c r="B29" s="2">
        <f>B24*B25*B28</f>
        <v>28272.493251292675</v>
      </c>
      <c r="C29" s="2">
        <f>C24*C25*C28</f>
        <v>23368.380962961321</v>
      </c>
      <c r="D29" s="2">
        <f>D24*D25*D28</f>
        <v>22529.777154273223</v>
      </c>
      <c r="E29" s="2">
        <f>E24*E25*E28</f>
        <v>21892.71816628327</v>
      </c>
      <c r="F29" s="2">
        <f>F24*F25*F28</f>
        <v>21520.773213128152</v>
      </c>
      <c r="G29" s="103" t="s">
        <v>234</v>
      </c>
    </row>
    <row r="31" spans="1:7" ht="15" customHeight="1" x14ac:dyDescent="0.25">
      <c r="A31" s="99" t="s">
        <v>235</v>
      </c>
      <c r="B31" s="100"/>
      <c r="C31" s="100"/>
      <c r="D31" s="100"/>
      <c r="E31" s="100"/>
      <c r="F31" s="100"/>
      <c r="G31" s="100"/>
    </row>
    <row r="32" spans="1:7" ht="15" customHeight="1" x14ac:dyDescent="0.25">
      <c r="A32" s="97" t="s">
        <v>236</v>
      </c>
      <c r="B32" s="110">
        <f>IF(B18&lt;=0,0,B29/B18)</f>
        <v>8.4651717110504769</v>
      </c>
      <c r="C32" s="110">
        <f>IF(C18&lt;=0,0,C29/C18)</f>
        <v>12.499734222837873</v>
      </c>
      <c r="D32" s="110">
        <f>IF(D18&lt;=0,0,D29/D18)</f>
        <v>20.456015782044773</v>
      </c>
      <c r="E32" s="110">
        <f>IF(E18&lt;=0,0,E29/E18)</f>
        <v>31.123796549486322</v>
      </c>
      <c r="F32" s="110">
        <f>IF(F18&lt;=0,0,F29/F18)</f>
        <v>46.149888647170627</v>
      </c>
      <c r="G32" s="103"/>
    </row>
    <row r="33" spans="1:7" ht="15" customHeight="1" x14ac:dyDescent="0.25">
      <c r="A33" s="97" t="s">
        <v>237</v>
      </c>
      <c r="B33" s="111">
        <f>IF(B24*B25&lt;=0,999,B18/(B24*B25))</f>
        <v>3.9377031525326105</v>
      </c>
      <c r="C33" s="111">
        <f>IF(C24*C25&lt;=0,999,C18/(C24*C25))</f>
        <v>2.6667233670001593</v>
      </c>
      <c r="D33" s="111">
        <f>IF(D24*D25&lt;=0,999,D18/(D24*D25))</f>
        <v>1.6295124959080056</v>
      </c>
      <c r="E33" s="111">
        <f>IF(E24*E25&lt;=0,999,E18/(E24*E25))</f>
        <v>1.0709918785240062</v>
      </c>
      <c r="F33" s="111">
        <f>IF(F24*F25&lt;=0,999,F18/(F24*F25))</f>
        <v>0.72228415518348055</v>
      </c>
      <c r="G33" s="103"/>
    </row>
    <row r="34" spans="1:7" ht="15" customHeight="1" x14ac:dyDescent="0.25">
      <c r="A34" s="101" t="s">
        <v>238</v>
      </c>
      <c r="B34" s="3" t="str">
        <f>IF(B32&gt;=3,"✓ Saudável",IF(B32&gt;=1,"⚠ Atenção","✗ Crítico"))</f>
        <v>✓ Saudável</v>
      </c>
      <c r="C34" s="3" t="str">
        <f>IF(C32&gt;=3,"✓ Saudável",IF(C32&gt;=1,"⚠ Atenção","✗ Crítico"))</f>
        <v>✓ Saudável</v>
      </c>
      <c r="D34" s="3" t="str">
        <f>IF(D32&gt;=3,"✓ Saudável",IF(D32&gt;=1,"⚠ Atenção","✗ Crítico"))</f>
        <v>✓ Saudável</v>
      </c>
      <c r="E34" s="3" t="str">
        <f>IF(E32&gt;=3,"✓ Saudável",IF(E32&gt;=1,"⚠ Atenção","✗ Crítico"))</f>
        <v>✓ Saudável</v>
      </c>
      <c r="F34" s="3" t="str">
        <f>IF(F32&gt;=3,"✓ Saudável",IF(F32&gt;=1,"⚠ Atenção","✗ Crítico"))</f>
        <v>✓ Saudável</v>
      </c>
    </row>
    <row r="35" spans="1:7" ht="15" customHeight="1" x14ac:dyDescent="0.25">
      <c r="A35" s="101" t="s">
        <v>239</v>
      </c>
      <c r="B35" s="3" t="str">
        <f>IF(B33&lt;=12,"✓ Saudável",IF(B33&lt;=18,"⚠ Atenção","✗ Crítico"))</f>
        <v>✓ Saudável</v>
      </c>
      <c r="C35" s="3" t="str">
        <f>IF(C33&lt;=12,"✓ Saudável",IF(C33&lt;=18,"⚠ Atenção","✗ Crítico"))</f>
        <v>✓ Saudável</v>
      </c>
      <c r="D35" s="3" t="str">
        <f>IF(D33&lt;=12,"✓ Saudável",IF(D33&lt;=18,"⚠ Atenção","✗ Crítico"))</f>
        <v>✓ Saudável</v>
      </c>
      <c r="E35" s="3" t="str">
        <f>IF(E33&lt;=12,"✓ Saudável",IF(E33&lt;=18,"⚠ Atenção","✗ Crítico"))</f>
        <v>✓ Saudável</v>
      </c>
      <c r="F35" s="3" t="str">
        <f>IF(F33&lt;=12,"✓ Saudável",IF(F33&lt;=18,"⚠ Atenção","✗ Crítico"))</f>
        <v>✓ Saudável</v>
      </c>
    </row>
    <row r="38" spans="1:7" ht="15" customHeight="1" x14ac:dyDescent="0.25">
      <c r="A38" s="121" t="s">
        <v>240</v>
      </c>
      <c r="B38" s="121"/>
      <c r="C38" s="121"/>
      <c r="D38" s="121"/>
      <c r="E38" s="121"/>
      <c r="F38" s="121"/>
      <c r="G38" s="121"/>
    </row>
    <row r="39" spans="1:7" ht="15" customHeight="1" x14ac:dyDescent="0.25">
      <c r="A39" s="1" t="s">
        <v>241</v>
      </c>
      <c r="B39" s="118" t="s">
        <v>242</v>
      </c>
      <c r="C39" s="118"/>
      <c r="D39" s="118"/>
      <c r="E39" s="118"/>
      <c r="F39" s="118"/>
      <c r="G39" s="118"/>
    </row>
    <row r="40" spans="1:7" ht="15" customHeight="1" x14ac:dyDescent="0.25">
      <c r="A40" s="1" t="s">
        <v>243</v>
      </c>
      <c r="B40" s="118" t="s">
        <v>244</v>
      </c>
      <c r="C40" s="118"/>
      <c r="D40" s="118"/>
      <c r="E40" s="118"/>
      <c r="F40" s="118"/>
      <c r="G40" s="118"/>
    </row>
    <row r="41" spans="1:7" ht="15" customHeight="1" x14ac:dyDescent="0.25">
      <c r="A41" s="1" t="s">
        <v>245</v>
      </c>
      <c r="B41" s="118" t="s">
        <v>246</v>
      </c>
      <c r="C41" s="118"/>
      <c r="D41" s="118"/>
      <c r="E41" s="118"/>
      <c r="F41" s="118"/>
      <c r="G41" s="118"/>
    </row>
    <row r="42" spans="1:7" ht="15" customHeight="1" x14ac:dyDescent="0.25">
      <c r="A42" s="1" t="s">
        <v>247</v>
      </c>
      <c r="B42" s="118" t="s">
        <v>248</v>
      </c>
      <c r="C42" s="118"/>
      <c r="D42" s="118"/>
      <c r="E42" s="118"/>
      <c r="F42" s="118"/>
      <c r="G42" s="118"/>
    </row>
    <row r="43" spans="1:7" ht="15" customHeight="1" x14ac:dyDescent="0.25">
      <c r="A43" s="1" t="s">
        <v>249</v>
      </c>
      <c r="B43" s="118" t="s">
        <v>250</v>
      </c>
      <c r="C43" s="118"/>
      <c r="D43" s="118"/>
      <c r="E43" s="118"/>
      <c r="F43" s="118"/>
      <c r="G43" s="118"/>
    </row>
    <row r="44" spans="1:7" ht="15" customHeight="1" x14ac:dyDescent="0.25">
      <c r="A44" s="1" t="s">
        <v>251</v>
      </c>
      <c r="B44" s="118" t="s">
        <v>252</v>
      </c>
      <c r="C44" s="118"/>
      <c r="D44" s="118"/>
      <c r="E44" s="118"/>
      <c r="F44" s="118"/>
      <c r="G44" s="118"/>
    </row>
  </sheetData>
  <mergeCells count="9">
    <mergeCell ref="B41:G41"/>
    <mergeCell ref="B42:G42"/>
    <mergeCell ref="B43:G43"/>
    <mergeCell ref="B44:G44"/>
    <mergeCell ref="A1:G1"/>
    <mergeCell ref="A2:G2"/>
    <mergeCell ref="A38:G38"/>
    <mergeCell ref="B39:G39"/>
    <mergeCell ref="B40:G40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4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28" sqref="J28"/>
    </sheetView>
  </sheetViews>
  <sheetFormatPr defaultColWidth="8.7109375" defaultRowHeight="15" customHeight="1" x14ac:dyDescent="0.25"/>
  <cols>
    <col min="1" max="1" width="52" customWidth="1"/>
    <col min="2" max="6" width="16" customWidth="1"/>
    <col min="7" max="7" width="45" customWidth="1"/>
  </cols>
  <sheetData>
    <row r="1" spans="1:7" ht="24.75" customHeight="1" x14ac:dyDescent="0.25">
      <c r="A1" s="119" t="s">
        <v>253</v>
      </c>
      <c r="B1" s="119"/>
      <c r="C1" s="119"/>
      <c r="D1" s="119"/>
      <c r="E1" s="119"/>
      <c r="F1" s="119"/>
      <c r="G1" s="119"/>
    </row>
    <row r="2" spans="1:7" x14ac:dyDescent="0.25">
      <c r="A2" s="120"/>
      <c r="B2" s="120"/>
      <c r="C2" s="120"/>
      <c r="D2" s="120"/>
      <c r="E2" s="120"/>
      <c r="F2" s="120"/>
      <c r="G2" s="120"/>
    </row>
    <row r="4" spans="1:7" ht="15" customHeight="1" x14ac:dyDescent="0.25">
      <c r="A4" s="97" t="s">
        <v>254</v>
      </c>
      <c r="B4" s="98" t="s">
        <v>113</v>
      </c>
      <c r="C4" s="98" t="s">
        <v>144</v>
      </c>
      <c r="D4" s="98" t="s">
        <v>145</v>
      </c>
      <c r="E4" s="98" t="s">
        <v>146</v>
      </c>
      <c r="F4" s="98" t="s">
        <v>147</v>
      </c>
      <c r="G4" s="97" t="s">
        <v>255</v>
      </c>
    </row>
    <row r="6" spans="1:7" ht="15" customHeight="1" x14ac:dyDescent="0.25">
      <c r="A6" s="99" t="s">
        <v>256</v>
      </c>
      <c r="B6" s="100"/>
      <c r="C6" s="100"/>
      <c r="D6" s="100"/>
      <c r="E6" s="100"/>
      <c r="F6" s="100"/>
      <c r="G6" s="100"/>
    </row>
    <row r="7" spans="1:7" ht="15" customHeight="1" x14ac:dyDescent="0.25">
      <c r="A7" s="101" t="s">
        <v>202</v>
      </c>
      <c r="B7" s="102">
        <f>'5.Projeção Financeira'!BP61</f>
        <v>446164.29467915185</v>
      </c>
      <c r="C7" s="102">
        <f>'5.Projeção Financeira'!BQ61</f>
        <v>1249874.3984998595</v>
      </c>
      <c r="D7" s="102">
        <f>'5.Projeção Financeira'!BR61</f>
        <v>2805786.8037228324</v>
      </c>
      <c r="E7" s="102">
        <f>'5.Projeção Financeira'!BS61</f>
        <v>5390282.7851508055</v>
      </c>
      <c r="F7" s="102">
        <f>'5.Projeção Financeira'!BT61</f>
        <v>9504461.6928311978</v>
      </c>
    </row>
    <row r="8" spans="1:7" ht="15" customHeight="1" x14ac:dyDescent="0.25">
      <c r="A8" s="101" t="s">
        <v>257</v>
      </c>
      <c r="B8" s="102">
        <f>Resumo!C8+Resumo!C9+Resumo!C10</f>
        <v>1563026.0541046194</v>
      </c>
      <c r="C8" s="102">
        <f>Resumo!D8+Resumo!D9+Resumo!D10</f>
        <v>1665689.0410811675</v>
      </c>
      <c r="D8" s="102">
        <f>Resumo!E8+Resumo!E9+Resumo!E10</f>
        <v>2036066.0349919153</v>
      </c>
      <c r="E8" s="102">
        <f>Resumo!F8+Resumo!F9+Resumo!F10</f>
        <v>2386304.3325609257</v>
      </c>
      <c r="F8" s="102">
        <f>Resumo!G8+Resumo!G9+Resumo!G10</f>
        <v>2860344.7923855414</v>
      </c>
    </row>
    <row r="9" spans="1:7" ht="15" customHeight="1" x14ac:dyDescent="0.25">
      <c r="A9" s="97" t="s">
        <v>258</v>
      </c>
      <c r="B9" s="4">
        <f>B7-B8</f>
        <v>-1116861.7594254676</v>
      </c>
      <c r="C9" s="4">
        <f>C7-C8</f>
        <v>-415814.64258130803</v>
      </c>
      <c r="D9" s="4">
        <f>D7-D8</f>
        <v>769720.76873091701</v>
      </c>
      <c r="E9" s="4">
        <f>E7-E8</f>
        <v>3003978.4525898797</v>
      </c>
      <c r="F9" s="4">
        <f>F7-F8</f>
        <v>6644116.9004456569</v>
      </c>
    </row>
    <row r="10" spans="1:7" ht="15" customHeight="1" x14ac:dyDescent="0.25">
      <c r="A10" s="101" t="s">
        <v>259</v>
      </c>
      <c r="B10" s="3" t="str">
        <f>IF(B9&gt;0,"✓ SIM","✗ NÃO")</f>
        <v>✗ NÃO</v>
      </c>
      <c r="C10" s="3" t="str">
        <f>IF(C9&gt;0,"✓ SIM","✗ NÃO")</f>
        <v>✗ NÃO</v>
      </c>
      <c r="D10" s="3" t="str">
        <f>IF(D9&gt;0,"✓ SIM","✗ NÃO")</f>
        <v>✓ SIM</v>
      </c>
      <c r="E10" s="3" t="str">
        <f>IF(E9&gt;0,"✓ SIM","✗ NÃO")</f>
        <v>✓ SIM</v>
      </c>
      <c r="F10" s="3" t="str">
        <f>IF(F9&gt;0,"✓ SIM","✗ NÃO")</f>
        <v>✓ SIM</v>
      </c>
    </row>
    <row r="12" spans="1:7" ht="15" customHeight="1" x14ac:dyDescent="0.25">
      <c r="A12" s="99" t="s">
        <v>260</v>
      </c>
      <c r="B12" s="100"/>
      <c r="C12" s="100"/>
      <c r="D12" s="100"/>
      <c r="E12" s="100"/>
      <c r="F12" s="100"/>
      <c r="G12" s="100"/>
    </row>
    <row r="13" spans="1:7" ht="15" customHeight="1" x14ac:dyDescent="0.25">
      <c r="A13" s="101" t="s">
        <v>261</v>
      </c>
      <c r="B13" s="102">
        <f>Resumo!C21</f>
        <v>-947169.97415942512</v>
      </c>
      <c r="C13" s="102">
        <f>Resumo!D21</f>
        <v>-284708.36250630091</v>
      </c>
      <c r="D13" s="102">
        <f>Resumo!E21</f>
        <v>667273.57140858145</v>
      </c>
      <c r="E13" s="102">
        <f>Resumo!F21</f>
        <v>2045512.6305560996</v>
      </c>
      <c r="F13" s="102">
        <f>Resumo!G21</f>
        <v>4468653.0483719027</v>
      </c>
    </row>
    <row r="14" spans="1:7" ht="15" customHeight="1" x14ac:dyDescent="0.25">
      <c r="A14" s="101" t="s">
        <v>262</v>
      </c>
      <c r="B14" s="102">
        <f>-'4.Premissas de Investimento'!B1</f>
        <v>-170000</v>
      </c>
      <c r="G14" s="103" t="s">
        <v>263</v>
      </c>
    </row>
    <row r="15" spans="1:7" ht="15" customHeight="1" x14ac:dyDescent="0.25">
      <c r="A15" s="97" t="s">
        <v>264</v>
      </c>
      <c r="B15" s="4">
        <f>B14+B13</f>
        <v>-1117169.9741594251</v>
      </c>
      <c r="C15" s="4">
        <f>B15+C13</f>
        <v>-1401878.336665726</v>
      </c>
      <c r="D15" s="4">
        <f>C15+D13</f>
        <v>-734604.76525714458</v>
      </c>
      <c r="E15" s="4">
        <f>D15+E13</f>
        <v>1310907.865298955</v>
      </c>
      <c r="F15" s="4">
        <f>E15+F13</f>
        <v>5779560.9136708574</v>
      </c>
    </row>
    <row r="16" spans="1:7" ht="15" customHeight="1" x14ac:dyDescent="0.25">
      <c r="A16" s="97" t="s">
        <v>265</v>
      </c>
      <c r="B16" s="126">
        <f>MIN(B15:F15)</f>
        <v>-1401878.336665726</v>
      </c>
      <c r="C16" s="126"/>
      <c r="G16" s="103" t="s">
        <v>266</v>
      </c>
    </row>
    <row r="17" spans="1:7" ht="15" customHeight="1" x14ac:dyDescent="0.25">
      <c r="A17" s="97" t="s">
        <v>267</v>
      </c>
      <c r="B17" s="127">
        <f>MAX(0,-MIN(B15:F15))</f>
        <v>1401878.336665726</v>
      </c>
      <c r="C17" s="127"/>
      <c r="G17" s="103" t="s">
        <v>268</v>
      </c>
    </row>
    <row r="18" spans="1:7" ht="15" customHeight="1" x14ac:dyDescent="0.25">
      <c r="A18" s="97" t="s">
        <v>269</v>
      </c>
      <c r="B18" s="128">
        <f>B17*1.2</f>
        <v>1682254.0039988712</v>
      </c>
      <c r="C18" s="128"/>
    </row>
    <row r="20" spans="1:7" ht="26.25" customHeight="1" x14ac:dyDescent="0.25">
      <c r="A20" s="99" t="s">
        <v>270</v>
      </c>
      <c r="B20" s="100"/>
      <c r="C20" s="100"/>
      <c r="D20" s="100"/>
      <c r="E20" s="100"/>
      <c r="F20" s="100"/>
      <c r="G20" s="100"/>
    </row>
    <row r="21" spans="1:7" ht="15" customHeight="1" x14ac:dyDescent="0.25">
      <c r="A21" s="97" t="s">
        <v>271</v>
      </c>
      <c r="B21" s="122" t="str">
        <f>IF(B15&gt;0,"Ano 1",IF(C15&gt;0,"Ano 2",IF(D15&gt;0,"Ano 3",IF(E15&gt;0,"Ano 4",IF(F15&gt;0,"Ano 5","&gt; Ano 5 (rever modelo)")))))</f>
        <v>Ano 4</v>
      </c>
      <c r="C21" s="122"/>
    </row>
    <row r="23" spans="1:7" ht="26.25" customHeight="1" x14ac:dyDescent="0.25">
      <c r="A23" s="99" t="s">
        <v>272</v>
      </c>
      <c r="B23" s="100"/>
      <c r="C23" s="100"/>
      <c r="D23" s="100"/>
      <c r="E23" s="100"/>
      <c r="F23" s="100"/>
      <c r="G23" s="100"/>
    </row>
    <row r="24" spans="1:7" ht="15" customHeight="1" x14ac:dyDescent="0.25">
      <c r="A24" s="101" t="s">
        <v>273</v>
      </c>
      <c r="B24" s="123">
        <f>'4.Premissas de Investimento'!B1</f>
        <v>170000</v>
      </c>
      <c r="C24" s="123"/>
    </row>
    <row r="25" spans="1:7" ht="15" customHeight="1" x14ac:dyDescent="0.25">
      <c r="A25" s="101" t="s">
        <v>274</v>
      </c>
      <c r="B25" s="124">
        <f>B17-B24</f>
        <v>1231878.336665726</v>
      </c>
      <c r="C25" s="124"/>
    </row>
    <row r="26" spans="1:7" ht="15" customHeight="1" x14ac:dyDescent="0.25">
      <c r="A26" s="97" t="s">
        <v>275</v>
      </c>
      <c r="B26" s="125" t="str">
        <f>IF(B25&lt;=0,"✓ Investimento inicial cobre a queima. Modelo viável sem captação adicional.","✗ Investimento inicial INSUFICIENTE. É preciso captar rodada seed no valor calculado acima.")</f>
        <v>✗ Investimento inicial INSUFICIENTE. É preciso captar rodada seed no valor calculado acima.</v>
      </c>
      <c r="C26" s="125"/>
      <c r="D26" s="125"/>
      <c r="E26" s="125"/>
      <c r="F26" s="125"/>
      <c r="G26" s="125"/>
    </row>
    <row r="29" spans="1:7" ht="15" customHeight="1" x14ac:dyDescent="0.25">
      <c r="A29" s="121" t="s">
        <v>276</v>
      </c>
      <c r="B29" s="121"/>
      <c r="C29" s="121"/>
      <c r="D29" s="121"/>
      <c r="E29" s="121"/>
      <c r="F29" s="121"/>
      <c r="G29" s="121"/>
    </row>
    <row r="30" spans="1:7" ht="15" customHeight="1" x14ac:dyDescent="0.25">
      <c r="A30" s="118" t="s">
        <v>277</v>
      </c>
      <c r="B30" s="118"/>
      <c r="C30" s="118"/>
      <c r="D30" s="118"/>
      <c r="E30" s="118"/>
      <c r="F30" s="118"/>
      <c r="G30" s="118"/>
    </row>
    <row r="31" spans="1:7" ht="15" customHeight="1" x14ac:dyDescent="0.25">
      <c r="A31" s="118" t="s">
        <v>278</v>
      </c>
      <c r="B31" s="118"/>
      <c r="C31" s="118"/>
      <c r="D31" s="118"/>
      <c r="E31" s="118"/>
      <c r="F31" s="118"/>
      <c r="G31" s="118"/>
    </row>
    <row r="32" spans="1:7" ht="15" customHeight="1" x14ac:dyDescent="0.25">
      <c r="A32" s="118" t="s">
        <v>279</v>
      </c>
      <c r="B32" s="118"/>
      <c r="C32" s="118"/>
      <c r="D32" s="118"/>
      <c r="E32" s="118"/>
      <c r="F32" s="118"/>
      <c r="G32" s="118"/>
    </row>
    <row r="33" spans="1:7" ht="15" customHeight="1" x14ac:dyDescent="0.25">
      <c r="A33" s="118" t="s">
        <v>280</v>
      </c>
      <c r="B33" s="118"/>
      <c r="C33" s="118"/>
      <c r="D33" s="118"/>
      <c r="E33" s="118"/>
      <c r="F33" s="118"/>
      <c r="G33" s="118"/>
    </row>
    <row r="34" spans="1:7" ht="15" customHeight="1" x14ac:dyDescent="0.25">
      <c r="A34" s="118" t="s">
        <v>281</v>
      </c>
      <c r="B34" s="118"/>
      <c r="C34" s="118"/>
      <c r="D34" s="118"/>
      <c r="E34" s="118"/>
      <c r="F34" s="118"/>
      <c r="G34" s="118"/>
    </row>
  </sheetData>
  <mergeCells count="15">
    <mergeCell ref="A1:G1"/>
    <mergeCell ref="A2:G2"/>
    <mergeCell ref="B16:C16"/>
    <mergeCell ref="B17:C17"/>
    <mergeCell ref="B18:C18"/>
    <mergeCell ref="B21:C21"/>
    <mergeCell ref="B24:C24"/>
    <mergeCell ref="B25:C25"/>
    <mergeCell ref="B26:G26"/>
    <mergeCell ref="A29:G29"/>
    <mergeCell ref="A30:G30"/>
    <mergeCell ref="A31:G31"/>
    <mergeCell ref="A32:G32"/>
    <mergeCell ref="A33:G33"/>
    <mergeCell ref="A34:G34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2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38" sqref="F38"/>
    </sheetView>
  </sheetViews>
  <sheetFormatPr defaultColWidth="8.7109375" defaultRowHeight="15" customHeight="1" x14ac:dyDescent="0.25"/>
  <cols>
    <col min="1" max="1" width="45" customWidth="1"/>
    <col min="2" max="4" width="18" customWidth="1"/>
    <col min="5" max="5" width="83.28515625" customWidth="1"/>
  </cols>
  <sheetData>
    <row r="1" spans="1:5" ht="24.75" customHeight="1" x14ac:dyDescent="0.25">
      <c r="A1" s="119" t="s">
        <v>282</v>
      </c>
      <c r="B1" s="119"/>
      <c r="C1" s="119"/>
      <c r="D1" s="119"/>
      <c r="E1" s="119"/>
    </row>
    <row r="2" spans="1:5" x14ac:dyDescent="0.25">
      <c r="A2" s="120"/>
      <c r="B2" s="120"/>
      <c r="C2" s="120"/>
      <c r="D2" s="120"/>
      <c r="E2" s="120"/>
    </row>
    <row r="4" spans="1:5" ht="15" customHeight="1" x14ac:dyDescent="0.25">
      <c r="A4" s="97" t="s">
        <v>283</v>
      </c>
      <c r="B4" s="112" t="s">
        <v>284</v>
      </c>
      <c r="C4" s="112" t="s">
        <v>285</v>
      </c>
      <c r="D4" s="112" t="s">
        <v>286</v>
      </c>
      <c r="E4" s="113" t="s">
        <v>287</v>
      </c>
    </row>
    <row r="6" spans="1:5" ht="26.25" customHeight="1" x14ac:dyDescent="0.25">
      <c r="A6" s="99" t="s">
        <v>288</v>
      </c>
      <c r="B6" s="100"/>
      <c r="C6" s="100"/>
      <c r="D6" s="100"/>
      <c r="E6" s="100"/>
    </row>
    <row r="7" spans="1:5" ht="21.75" customHeight="1" x14ac:dyDescent="0.25">
      <c r="A7" s="101" t="s">
        <v>289</v>
      </c>
      <c r="B7" s="114">
        <v>0.6</v>
      </c>
      <c r="C7" s="114">
        <v>1</v>
      </c>
      <c r="D7" s="114">
        <v>1.3</v>
      </c>
      <c r="E7" s="5" t="s">
        <v>290</v>
      </c>
    </row>
    <row r="8" spans="1:5" ht="21.75" customHeight="1" x14ac:dyDescent="0.25">
      <c r="A8" s="101" t="s">
        <v>291</v>
      </c>
      <c r="B8" s="114">
        <v>1.1499999999999999</v>
      </c>
      <c r="C8" s="114">
        <v>1</v>
      </c>
      <c r="D8" s="114">
        <v>0.95</v>
      </c>
      <c r="E8" s="5" t="s">
        <v>292</v>
      </c>
    </row>
    <row r="9" spans="1:5" ht="21.75" customHeight="1" x14ac:dyDescent="0.25">
      <c r="A9" s="101" t="s">
        <v>293</v>
      </c>
      <c r="B9" s="105">
        <v>0.05</v>
      </c>
      <c r="C9" s="105">
        <v>0.03</v>
      </c>
      <c r="D9" s="105">
        <v>0.02</v>
      </c>
      <c r="E9" s="5" t="s">
        <v>294</v>
      </c>
    </row>
    <row r="10" spans="1:5" ht="21.75" customHeight="1" x14ac:dyDescent="0.25">
      <c r="A10" s="101" t="s">
        <v>295</v>
      </c>
      <c r="B10" s="115">
        <f>'6.Unit Economics'!F23*0.75</f>
        <v>6526.292797810007</v>
      </c>
      <c r="C10" s="115">
        <f>'6.Unit Economics'!F23</f>
        <v>8701.7237304133432</v>
      </c>
      <c r="D10" s="115">
        <f>'6.Unit Economics'!F23*1.35</f>
        <v>11747.327036058014</v>
      </c>
      <c r="E10" s="5" t="s">
        <v>296</v>
      </c>
    </row>
    <row r="12" spans="1:5" ht="15" customHeight="1" x14ac:dyDescent="0.25">
      <c r="A12" s="99" t="s">
        <v>297</v>
      </c>
      <c r="B12" s="100"/>
      <c r="C12" s="100"/>
      <c r="D12" s="100"/>
      <c r="E12" s="100"/>
    </row>
    <row r="13" spans="1:5" ht="15" customHeight="1" x14ac:dyDescent="0.25">
      <c r="A13" s="101" t="s">
        <v>298</v>
      </c>
      <c r="B13" s="2">
        <f>B7*'5.Projeção Financeira'!BT61</f>
        <v>5702677.0156987188</v>
      </c>
      <c r="C13" s="2">
        <f>C7*'5.Projeção Financeira'!BT61</f>
        <v>9504461.6928311978</v>
      </c>
      <c r="D13" s="2">
        <f>D7*'5.Projeção Financeira'!BT61</f>
        <v>12355800.200680558</v>
      </c>
    </row>
    <row r="14" spans="1:5" ht="15" customHeight="1" x14ac:dyDescent="0.25">
      <c r="A14" s="101" t="s">
        <v>299</v>
      </c>
      <c r="B14" s="2">
        <f>B13-B33</f>
        <v>4320417.4135346133</v>
      </c>
      <c r="C14" s="2">
        <f>C13-C33</f>
        <v>5234208.6444592951</v>
      </c>
      <c r="D14" s="2">
        <f>D13-D33</f>
        <v>6053630.7297958788</v>
      </c>
    </row>
    <row r="15" spans="1:5" ht="15" customHeight="1" x14ac:dyDescent="0.25">
      <c r="A15" s="97" t="s">
        <v>300</v>
      </c>
      <c r="B15" s="4">
        <f>B33</f>
        <v>1382259.602164106</v>
      </c>
      <c r="C15" s="4">
        <f>C33</f>
        <v>4270253.0483719027</v>
      </c>
      <c r="D15" s="4">
        <f>D33</f>
        <v>6302169.4708846789</v>
      </c>
    </row>
    <row r="16" spans="1:5" ht="15" customHeight="1" x14ac:dyDescent="0.25">
      <c r="A16" s="101" t="s">
        <v>301</v>
      </c>
      <c r="B16" s="109">
        <f>IF(B13&lt;=0,0,B15/B13)</f>
        <v>0.24238784668304506</v>
      </c>
      <c r="C16" s="109">
        <f>IF(C13&lt;=0,0,C15/C13)</f>
        <v>0.44928931131289307</v>
      </c>
      <c r="D16" s="109">
        <f>IF(D13&lt;=0,0,D15/D13)</f>
        <v>0.51005757365172955</v>
      </c>
    </row>
    <row r="18" spans="1:5" ht="15" customHeight="1" x14ac:dyDescent="0.25">
      <c r="A18" s="99" t="s">
        <v>302</v>
      </c>
      <c r="B18" s="100"/>
      <c r="C18" s="100"/>
      <c r="D18" s="100"/>
      <c r="E18" s="100"/>
    </row>
    <row r="19" spans="1:5" ht="15" customHeight="1" x14ac:dyDescent="0.25">
      <c r="A19" s="101" t="s">
        <v>303</v>
      </c>
      <c r="B19" s="108">
        <f>IF(B9&lt;=0,0,1/B9)</f>
        <v>20</v>
      </c>
      <c r="C19" s="108">
        <f>IF(C9&lt;=0,0,1/C9)</f>
        <v>33.333333333333336</v>
      </c>
      <c r="D19" s="108">
        <f>IF(D9&lt;=0,0,1/D9)</f>
        <v>50</v>
      </c>
    </row>
    <row r="20" spans="1:5" ht="15" customHeight="1" x14ac:dyDescent="0.25">
      <c r="A20" s="101" t="s">
        <v>304</v>
      </c>
      <c r="B20" s="2">
        <f>B10/12</f>
        <v>543.85773315083395</v>
      </c>
      <c r="C20" s="2">
        <f>C10/12</f>
        <v>725.1436442011119</v>
      </c>
      <c r="D20" s="2">
        <f>D10/12</f>
        <v>978.94391967150113</v>
      </c>
    </row>
    <row r="21" spans="1:5" ht="15" customHeight="1" x14ac:dyDescent="0.25">
      <c r="A21" s="101" t="s">
        <v>305</v>
      </c>
      <c r="B21" s="109">
        <f>IF(B13&lt;=0,0,1-(B8*'5.Projeção Financeira'!BT100)/B13)</f>
        <v>0.78981517269104662</v>
      </c>
      <c r="C21" s="109">
        <f>IF(C13&lt;=0,0,1-(C8*'5.Projeção Financeira'!BT100)/C13)</f>
        <v>0.89033835096924174</v>
      </c>
      <c r="D21" s="109">
        <f>IF(D13&lt;=0,0,1-(D8*'5.Projeção Financeira'!BT100)/D13)</f>
        <v>0.91986264109290738</v>
      </c>
    </row>
    <row r="22" spans="1:5" ht="15" customHeight="1" x14ac:dyDescent="0.25">
      <c r="A22" s="97" t="s">
        <v>306</v>
      </c>
      <c r="B22" s="4">
        <f>B20*B21*B19</f>
        <v>8590.9417885577404</v>
      </c>
      <c r="C22" s="4">
        <f>C20*C21*C19</f>
        <v>21520.773213128152</v>
      </c>
      <c r="D22" s="4">
        <f>D20*D21*D19</f>
        <v>45024.696971543497</v>
      </c>
    </row>
    <row r="23" spans="1:5" ht="15" customHeight="1" x14ac:dyDescent="0.25">
      <c r="A23" s="97" t="s">
        <v>307</v>
      </c>
      <c r="B23" s="2">
        <f>'6.Unit Economics'!F18*(B8/B7)</f>
        <v>893.78652620052367</v>
      </c>
      <c r="C23" s="2">
        <f>'6.Unit Economics'!F18*(C8/C7)</f>
        <v>466.3234049741863</v>
      </c>
      <c r="D23" s="2">
        <f>'6.Unit Economics'!F18*(D8/D7)</f>
        <v>340.77479594267459</v>
      </c>
    </row>
    <row r="24" spans="1:5" ht="15" customHeight="1" x14ac:dyDescent="0.25">
      <c r="A24" s="97" t="s">
        <v>308</v>
      </c>
      <c r="B24" s="110">
        <f>IF(B23&lt;=0,0,B22/B23)</f>
        <v>9.6118497389726105</v>
      </c>
      <c r="C24" s="110">
        <f>IF(C23&lt;=0,0,C22/C23)</f>
        <v>46.149888647170627</v>
      </c>
      <c r="D24" s="110">
        <f>IF(D23&lt;=0,0,D22/D23)</f>
        <v>132.12449250242554</v>
      </c>
    </row>
    <row r="25" spans="1:5" ht="15" customHeight="1" x14ac:dyDescent="0.25">
      <c r="A25" s="101" t="s">
        <v>309</v>
      </c>
      <c r="B25" s="3" t="str">
        <f>IF(B24&gt;=3,"✓ Viável",IF(B24&gt;=1,"⚠ Atenção","✗ Modelo quebra"))</f>
        <v>✓ Viável</v>
      </c>
      <c r="C25" s="3" t="str">
        <f>IF(C24&gt;=3,"✓ Viável",IF(C24&gt;=1,"⚠ Atenção","✗ Modelo quebra"))</f>
        <v>✓ Viável</v>
      </c>
      <c r="D25" s="3" t="str">
        <f>IF(D24&gt;=3,"✓ Viável",IF(D24&gt;=1,"⚠ Atenção","✗ Modelo quebra"))</f>
        <v>✓ Viável</v>
      </c>
    </row>
    <row r="27" spans="1:5" ht="15" customHeight="1" x14ac:dyDescent="0.25">
      <c r="A27" s="99" t="s">
        <v>310</v>
      </c>
      <c r="B27" s="100"/>
      <c r="C27" s="100"/>
      <c r="D27" s="100"/>
      <c r="E27" s="100"/>
    </row>
    <row r="28" spans="1:5" ht="15" customHeight="1" x14ac:dyDescent="0.25">
      <c r="A28" s="101" t="s">
        <v>311</v>
      </c>
      <c r="B28" s="102">
        <f>-'4.Premissas de Investimento'!B1</f>
        <v>-170000</v>
      </c>
      <c r="C28" s="102">
        <f>-'4.Premissas de Investimento'!B1</f>
        <v>-170000</v>
      </c>
      <c r="D28" s="102">
        <f>-'4.Premissas de Investimento'!B1</f>
        <v>-170000</v>
      </c>
    </row>
    <row r="29" spans="1:5" ht="15" customHeight="1" x14ac:dyDescent="0.25">
      <c r="A29" s="101" t="s">
        <v>312</v>
      </c>
      <c r="B29" s="2">
        <f>((B7*Resumo!C5)-(IFERROR(Resumo!C6/Resumo!C5,0.05)*(B7*Resumo!C5))-(B8*Resumo!C8)-(B8*Resumo!C9)-(B8*Resumo!C10))-IF(((B7*Resumo!C5)-(IFERROR(Resumo!C6/Resumo!C5,0.05)*(B7*Resumo!C5))-(B8*Resumo!C8)-(B8*Resumo!C9)-(B8*Resumo!C10))&gt;0,0.25*((B7*Resumo!C5)-(IFERROR(Resumo!C6/Resumo!C5,0.05)*(B7*Resumo!C5))-(B8*Resumo!C8)-(B8*Resumo!C9)-(B8*Resumo!C10)),0)</f>
        <v>-1543166.3142531957</v>
      </c>
      <c r="C29" s="2">
        <f>((C7*Resumo!C5)-(IFERROR(Resumo!C6/Resumo!C5,0.05)*(C7*Resumo!C5))-(C8*Resumo!C8)-(C8*Resumo!C9)-(C8*Resumo!C10))-IF(((C7*Resumo!C5)-(IFERROR(Resumo!C6/Resumo!C5,0.05)*(C7*Resumo!C5))-(C8*Resumo!C8)-(C8*Resumo!C9)-(C8*Resumo!C10))&gt;0,0.25*((C7*Resumo!C5)-(IFERROR(Resumo!C6/Resumo!C5,0.05)*(C7*Resumo!C5))-(C8*Resumo!C8)-(C8*Resumo!C9)-(C8*Resumo!C10)),0)</f>
        <v>-1139169.9741594251</v>
      </c>
      <c r="D29" s="2">
        <f>((D7*Resumo!C5)-(IFERROR(Resumo!C6/Resumo!C5,0.05)*(D7*Resumo!C5))-(D8*Resumo!C8)-(D8*Resumo!C9)-(D8*Resumo!C10))-IF(((D7*Resumo!C5)-(IFERROR(Resumo!C6/Resumo!C5,0.05)*(D7*Resumo!C5))-(D8*Resumo!C8)-(D8*Resumo!C9)-(D8*Resumo!C10))&gt;0,0.25*((D7*Resumo!C5)-(IFERROR(Resumo!C6/Resumo!C5,0.05)*(D7*Resumo!C5))-(D8*Resumo!C8)-(D8*Resumo!C9)-(D8*Resumo!C10)),0)</f>
        <v>-933861.84747063578</v>
      </c>
    </row>
    <row r="30" spans="1:5" ht="15" customHeight="1" x14ac:dyDescent="0.25">
      <c r="A30" s="101" t="s">
        <v>313</v>
      </c>
      <c r="B30" s="2">
        <f>((B7*Resumo!D5)-(IFERROR(Resumo!D6/Resumo!D5,0.05)*(B7*Resumo!D5))-(B8*Resumo!D8)-(B8*Resumo!D9)-(B8*Resumo!D10))-IF(((B7*Resumo!D5)-(IFERROR(Resumo!D6/Resumo!D5,0.05)*(B7*Resumo!D5))-(B8*Resumo!D8)-(B8*Resumo!D9)-(B8*Resumo!D10))&gt;0,0.25*((B7*Resumo!D5)-(IFERROR(Resumo!D6/Resumo!D5,0.05)*(B7*Resumo!D5))-(B8*Resumo!D8)-(B8*Resumo!D9)-(B8*Resumo!D10)),0)</f>
        <v>-1203113.9900984226</v>
      </c>
      <c r="C30" s="2">
        <f>((C7*Resumo!D5)-(IFERROR(Resumo!D6/Resumo!D5,0.05)*(C7*Resumo!D5))-(C8*Resumo!D8)-(C8*Resumo!D9)-(C8*Resumo!D10))-IF(((C7*Resumo!D5)-(IFERROR(Resumo!D6/Resumo!D5,0.05)*(C7*Resumo!D5))-(C8*Resumo!D8)-(C8*Resumo!D9)-(C8*Resumo!D10))&gt;0,0.25*((C7*Resumo!D5)-(IFERROR(Resumo!D6/Resumo!D5,0.05)*(C7*Resumo!D5))-(C8*Resumo!D8)-(C8*Resumo!D9)-(C8*Resumo!D10)),0)</f>
        <v>-478308.36250630091</v>
      </c>
      <c r="D30" s="2">
        <f>((D7*Resumo!D5)-(IFERROR(Resumo!D6/Resumo!D5,0.05)*(D7*Resumo!D5))-(D8*Resumo!D8)-(D8*Resumo!D9)-(D8*Resumo!D10))-IF(((D7*Resumo!D5)-(IFERROR(Resumo!D6/Resumo!D5,0.05)*(D7*Resumo!D5))-(D8*Resumo!D8)-(D8*Resumo!D9)-(D8*Resumo!D10))&gt;0,0.25*((D7*Resumo!D5)-(IFERROR(Resumo!D6/Resumo!D5,0.05)*(D7*Resumo!D5))-(D8*Resumo!D8)-(D8*Resumo!D9)-(D8*Resumo!D10)),0)</f>
        <v>-38809.70687978249</v>
      </c>
    </row>
    <row r="31" spans="1:5" ht="15" customHeight="1" x14ac:dyDescent="0.25">
      <c r="A31" s="101" t="s">
        <v>314</v>
      </c>
      <c r="B31" s="2">
        <f>((B7*Resumo!E5)-(IFERROR(Resumo!E6/Resumo!E5,0.05)*(B7*Resumo!E5))-(B8*Resumo!E8)-(B8*Resumo!E9)-(B8*Resumo!E10))-IF(((B7*Resumo!E5)-(IFERROR(Resumo!E6/Resumo!E5,0.05)*(B7*Resumo!E5))-(B8*Resumo!E8)-(B8*Resumo!E9)-(B8*Resumo!E10))&gt;0,0.25*((B7*Resumo!E5)-(IFERROR(Resumo!E6/Resumo!E5,0.05)*(B7*Resumo!E5))-(B8*Resumo!E8)-(B8*Resumo!E9)-(B8*Resumo!E10)),0)</f>
        <v>-742177.46211868804</v>
      </c>
      <c r="C31" s="2">
        <f>((C7*Resumo!E5)-(IFERROR(Resumo!E6/Resumo!E5,0.05)*(C7*Resumo!E5))-(C8*Resumo!E8)-(C8*Resumo!E9)-(C8*Resumo!E10))-IF(((C7*Resumo!E5)-(IFERROR(Resumo!E6/Resumo!E5,0.05)*(C7*Resumo!E5))-(C8*Resumo!E8)-(C8*Resumo!E9)-(C8*Resumo!E10))&gt;0,0.25*((C7*Resumo!E5)-(IFERROR(Resumo!E6/Resumo!E5,0.05)*(C7*Resumo!E5))-(C8*Resumo!E8)-(C8*Resumo!E9)-(C8*Resumo!E10)),0)</f>
        <v>472073.57140858169</v>
      </c>
      <c r="D31" s="2">
        <f>((D7*Resumo!E5)-(IFERROR(Resumo!E6/Resumo!E5,0.05)*(D7*Resumo!E5))-(D8*Resumo!E8)-(D8*Resumo!E9)-(D8*Resumo!E10))-IF(((D7*Resumo!E5)-(IFERROR(Resumo!E6/Resumo!E5,0.05)*(D7*Resumo!E5))-(D8*Resumo!E8)-(D8*Resumo!E9)-(D8*Resumo!E10))&gt;0,0.25*((D7*Resumo!E5)-(IFERROR(Resumo!E6/Resumo!E5,0.05)*(D7*Resumo!E5))-(D8*Resumo!E8)-(D8*Resumo!E9)-(D8*Resumo!E10)),0)</f>
        <v>1148162.9770165342</v>
      </c>
    </row>
    <row r="32" spans="1:5" ht="15" customHeight="1" x14ac:dyDescent="0.25">
      <c r="A32" s="101" t="s">
        <v>315</v>
      </c>
      <c r="B32" s="2">
        <f>((B7*Resumo!F5)-(IFERROR(Resumo!F6/Resumo!F5,0.05)*(B7*Resumo!F5))-(B8*Resumo!F8)-(B8*Resumo!F9)-(B8*Resumo!F10))-IF(((B7*Resumo!F5)-(IFERROR(Resumo!F6/Resumo!F5,0.05)*(B7*Resumo!F5))-(B8*Resumo!F8)-(B8*Resumo!F9)-(B8*Resumo!F10))&gt;0,0.25*((B7*Resumo!F5)-(IFERROR(Resumo!F6/Resumo!F5,0.05)*(B7*Resumo!F5))-(B8*Resumo!F8)-(B8*Resumo!F9)-(B8*Resumo!F10)),0)</f>
        <v>124877.04115227805</v>
      </c>
      <c r="C32" s="2">
        <f>((C7*Resumo!F5)-(IFERROR(Resumo!F6/Resumo!F5,0.05)*(C7*Resumo!F5))-(C8*Resumo!F8)-(C8*Resumo!F9)-(C8*Resumo!F10))-IF(((C7*Resumo!F5)-(IFERROR(Resumo!F6/Resumo!F5,0.05)*(C7*Resumo!F5))-(C8*Resumo!F8)-(C8*Resumo!F9)-(C8*Resumo!F10))&gt;0,0.25*((C7*Resumo!F5)-(IFERROR(Resumo!F6/Resumo!F5,0.05)*(C7*Resumo!F5))-(C8*Resumo!F8)-(C8*Resumo!F9)-(C8*Resumo!F10)),0)</f>
        <v>1848712.6305560991</v>
      </c>
      <c r="D32" s="2">
        <f>((D7*Resumo!F5)-(IFERROR(Resumo!F6/Resumo!F5,0.05)*(D7*Resumo!F5))-(D8*Resumo!F8)-(D8*Resumo!F9)-(D8*Resumo!F10))-IF(((D7*Resumo!F5)-(IFERROR(Resumo!F6/Resumo!F5,0.05)*(D7*Resumo!F5))-(D8*Resumo!F8)-(D8*Resumo!F9)-(D8*Resumo!F10))&gt;0,0.25*((D7*Resumo!F5)-(IFERROR(Resumo!F6/Resumo!F5,0.05)*(D7*Resumo!F5))-(D8*Resumo!F8)-(D8*Resumo!F9)-(D8*Resumo!F10)),0)</f>
        <v>3029731.3070201725</v>
      </c>
    </row>
    <row r="33" spans="1:5" ht="15" customHeight="1" x14ac:dyDescent="0.25">
      <c r="A33" s="101" t="s">
        <v>316</v>
      </c>
      <c r="B33" s="2">
        <f>((B7*Resumo!G5)-(IFERROR(Resumo!G6/Resumo!G5,0.05)*(B7*Resumo!G5))-(B8*Resumo!G8)-(B8*Resumo!G9)-(B8*Resumo!G10))-IF(((B7*Resumo!G5)-(IFERROR(Resumo!G6/Resumo!G5,0.05)*(B7*Resumo!G5))-(B8*Resumo!G8)-(B8*Resumo!G9)-(B8*Resumo!G10))&gt;0,0.25*((B7*Resumo!G5)-(IFERROR(Resumo!G6/Resumo!G5,0.05)*(B7*Resumo!G5))-(B8*Resumo!G8)-(B8*Resumo!G9)-(B8*Resumo!G10)),0)</f>
        <v>1382259.602164106</v>
      </c>
      <c r="C33" s="2">
        <f>((C7*Resumo!G5)-(IFERROR(Resumo!G6/Resumo!G5,0.05)*(C7*Resumo!G5))-(C8*Resumo!G8)-(C8*Resumo!G9)-(C8*Resumo!G10))-IF(((C7*Resumo!G5)-(IFERROR(Resumo!G6/Resumo!G5,0.05)*(C7*Resumo!G5))-(C8*Resumo!G8)-(C8*Resumo!G9)-(C8*Resumo!G10))&gt;0,0.25*((C7*Resumo!G5)-(IFERROR(Resumo!G6/Resumo!G5,0.05)*(C7*Resumo!G5))-(C8*Resumo!G8)-(C8*Resumo!G9)-(C8*Resumo!G10)),0)</f>
        <v>4270253.0483719027</v>
      </c>
      <c r="D33" s="2">
        <f>((D7*Resumo!G5)-(IFERROR(Resumo!G6/Resumo!G5,0.05)*(D7*Resumo!G5))-(D8*Resumo!G8)-(D8*Resumo!G9)-(D8*Resumo!G10))-IF(((D7*Resumo!G5)-(IFERROR(Resumo!G6/Resumo!G5,0.05)*(D7*Resumo!G5))-(D8*Resumo!G8)-(D8*Resumo!G9)-(D8*Resumo!G10))&gt;0,0.25*((D7*Resumo!G5)-(IFERROR(Resumo!G6/Resumo!G5,0.05)*(D7*Resumo!G5))-(D8*Resumo!G8)-(D8*Resumo!G9)-(D8*Resumo!G10)),0)</f>
        <v>6302169.4708846789</v>
      </c>
    </row>
    <row r="34" spans="1:5" ht="15" customHeight="1" x14ac:dyDescent="0.25">
      <c r="A34" s="97" t="s">
        <v>317</v>
      </c>
      <c r="B34" s="116">
        <f>IFERROR(IRR(B28:B33,-0.5),IFERROR(IRR(B28:B33),"Não recupera em 5 anos"))</f>
        <v>-0.24624268994810405</v>
      </c>
      <c r="C34" s="116">
        <f>IFERROR(IRR(C28:C33,-0.5),IFERROR(IRR(C28:C33),"Não recupera em 5 anos"))</f>
        <v>0.47012889838859073</v>
      </c>
      <c r="D34" s="116">
        <f>IFERROR(IRR(D28:D33,-0.5),IFERROR(IRR(D28:D33),"Não recupera em 5 anos"))</f>
        <v>0.884887333951621</v>
      </c>
    </row>
    <row r="35" spans="1:5" ht="15" customHeight="1" x14ac:dyDescent="0.25">
      <c r="A35" s="101" t="s">
        <v>318</v>
      </c>
      <c r="B35" s="105">
        <v>0.2</v>
      </c>
      <c r="C35" s="105">
        <v>0.2</v>
      </c>
      <c r="D35" s="105">
        <v>0.2</v>
      </c>
      <c r="E35" s="103" t="s">
        <v>329</v>
      </c>
    </row>
    <row r="36" spans="1:5" ht="23.25" customHeight="1" x14ac:dyDescent="0.25">
      <c r="A36" s="97" t="s">
        <v>319</v>
      </c>
      <c r="B36" s="3" t="str">
        <f>IF(ISNUMBER(B34),IF(B34&gt;B35,"✓ Atrativo (TIR &gt; TMA)",IF(B34&gt;0,"⚠ Retorno positivo mas abaixo da TMA","✗ Prejuízo — não atrativo")),"✗ Projeto quebra em 5 anos")</f>
        <v>✗ Prejuízo — não atrativo</v>
      </c>
      <c r="C36" s="3" t="str">
        <f>IF(ISNUMBER(C34),IF(C34&gt;C35,"✓ Atrativo (TIR &gt; TMA)",IF(C34&gt;0,"⚠ Retorno positivo mas abaixo da TMA","✗ Prejuízo — não atrativo")),"✗ Projeto quebra em 5 anos")</f>
        <v>✓ Atrativo (TIR &gt; TMA)</v>
      </c>
      <c r="D36" s="3" t="str">
        <f>IF(ISNUMBER(D34),IF(D34&gt;D35,"✓ Atrativo (TIR &gt; TMA)",IF(D34&gt;0,"⚠ Retorno positivo mas abaixo da TMA","✗ Prejuízo — não atrativo")),"✗ Projeto quebra em 5 anos")</f>
        <v>✓ Atrativo (TIR &gt; TMA)</v>
      </c>
    </row>
    <row r="38" spans="1:5" ht="26.25" customHeight="1" x14ac:dyDescent="0.25">
      <c r="A38" s="99" t="s">
        <v>320</v>
      </c>
      <c r="B38" s="100"/>
      <c r="C38" s="100"/>
      <c r="D38" s="100"/>
      <c r="E38" s="100"/>
    </row>
    <row r="39" spans="1:5" ht="15" customHeight="1" x14ac:dyDescent="0.25">
      <c r="A39" s="1" t="s">
        <v>321</v>
      </c>
      <c r="B39" s="118" t="s">
        <v>322</v>
      </c>
      <c r="C39" s="118"/>
      <c r="D39" s="118"/>
      <c r="E39" s="118"/>
    </row>
    <row r="40" spans="1:5" ht="15" customHeight="1" x14ac:dyDescent="0.25">
      <c r="A40" s="1" t="s">
        <v>323</v>
      </c>
      <c r="B40" s="118" t="s">
        <v>324</v>
      </c>
      <c r="C40" s="118"/>
      <c r="D40" s="118"/>
      <c r="E40" s="118"/>
    </row>
    <row r="41" spans="1:5" ht="27.75" customHeight="1" x14ac:dyDescent="0.25">
      <c r="A41" s="1" t="s">
        <v>325</v>
      </c>
      <c r="B41" s="118" t="s">
        <v>326</v>
      </c>
      <c r="C41" s="118"/>
      <c r="D41" s="118"/>
      <c r="E41" s="118"/>
    </row>
    <row r="42" spans="1:5" ht="33" customHeight="1" x14ac:dyDescent="0.25">
      <c r="A42" s="1" t="s">
        <v>327</v>
      </c>
      <c r="B42" s="118" t="s">
        <v>328</v>
      </c>
      <c r="C42" s="118"/>
      <c r="D42" s="118"/>
      <c r="E42" s="118"/>
    </row>
  </sheetData>
  <mergeCells count="6">
    <mergeCell ref="B42:E42"/>
    <mergeCell ref="A1:E1"/>
    <mergeCell ref="A2:E2"/>
    <mergeCell ref="B39:E39"/>
    <mergeCell ref="B40:E40"/>
    <mergeCell ref="B41:E4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Instruçoes</vt:lpstr>
      <vt:lpstr>1.Premissas Receitas</vt:lpstr>
      <vt:lpstr>2.Folha de Pagamentos</vt:lpstr>
      <vt:lpstr>3.Premissas de Despesas</vt:lpstr>
      <vt:lpstr>4.Premissas de Investimento</vt:lpstr>
      <vt:lpstr>5.Projeção Financeira</vt:lpstr>
      <vt:lpstr>Resumo</vt:lpstr>
      <vt:lpstr>6.Unit Economics</vt:lpstr>
      <vt:lpstr>7.Break-Even e Runway</vt:lpstr>
      <vt:lpstr>8.Cenarios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</dc:creator>
  <cp:lastModifiedBy>Murilo Castilho</cp:lastModifiedBy>
  <dcterms:created xsi:type="dcterms:W3CDTF">2026-08-15T01:33:51Z</dcterms:created>
  <dcterms:modified xsi:type="dcterms:W3CDTF">2026-08-15T01:39:46Z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2025-03-31T20:00:38Z</dcterms:created>
  <dc:creator>Guilherme Skaf Ribeiro de Amorim</dc:creator>
  <dc:description/>
  <dc:language>en-US</dc:language>
  <cp:lastModifiedBy/>
  <dcterms:modified xsi:type="dcterms:W3CDTF">2026-08-15T00:05:45Z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0x010100738B969FA4CB8846B7BEDDE5CC6FADC2</vt:lpwstr>
  </property>
  <property fmtid="{D5CDD505-2E9C-101B-9397-08002B2CF9AE}" pid="3" name="MediaServiceImageTags">
    <vt:lpwstr/>
  </property>
</Properties>
</file>